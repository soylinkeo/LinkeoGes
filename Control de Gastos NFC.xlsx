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66da555ea7dc239/"/>
    </mc:Choice>
  </mc:AlternateContent>
  <xr:revisionPtr revIDLastSave="37" documentId="11_95D37023BAD0E7B1D82BB7F0201F10DFF314C875" xr6:coauthVersionLast="47" xr6:coauthVersionMax="47" xr10:uidLastSave="{E476E2BF-D3D0-424F-914F-165839E1FDF2}"/>
  <bookViews>
    <workbookView xWindow="-120" yWindow="-120" windowWidth="29040" windowHeight="16440" activeTab="4" xr2:uid="{00000000-000D-0000-FFFF-FFFF00000000}"/>
  </bookViews>
  <sheets>
    <sheet name="Resumen" sheetId="1" r:id="rId1"/>
    <sheet name="Costos y metas" sheetId="2" r:id="rId2"/>
    <sheet name="Plan 30 dias" sheetId="3" r:id="rId3"/>
    <sheet name="Seguimiento ventas" sheetId="4" r:id="rId4"/>
    <sheet name="Ingresos y gasto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D6" i="5"/>
  <c r="H13" i="5"/>
  <c r="H12" i="5"/>
  <c r="I510" i="5"/>
  <c r="H510" i="5"/>
  <c r="I509" i="5"/>
  <c r="H509" i="5"/>
  <c r="I508" i="5"/>
  <c r="H508" i="5"/>
  <c r="I507" i="5"/>
  <c r="H507" i="5"/>
  <c r="I506" i="5"/>
  <c r="H506" i="5"/>
  <c r="I505" i="5"/>
  <c r="H505" i="5"/>
  <c r="I504" i="5"/>
  <c r="H504" i="5"/>
  <c r="I503" i="5"/>
  <c r="H503" i="5"/>
  <c r="I502" i="5"/>
  <c r="H502" i="5"/>
  <c r="I501" i="5"/>
  <c r="H501" i="5"/>
  <c r="I500" i="5"/>
  <c r="H500" i="5"/>
  <c r="I499" i="5"/>
  <c r="H499" i="5"/>
  <c r="I498" i="5"/>
  <c r="H498" i="5"/>
  <c r="I497" i="5"/>
  <c r="H497" i="5"/>
  <c r="I496" i="5"/>
  <c r="H496" i="5"/>
  <c r="I495" i="5"/>
  <c r="H495" i="5"/>
  <c r="I494" i="5"/>
  <c r="H494" i="5"/>
  <c r="I493" i="5"/>
  <c r="H493" i="5"/>
  <c r="I492" i="5"/>
  <c r="H492" i="5"/>
  <c r="I491" i="5"/>
  <c r="H491" i="5"/>
  <c r="I490" i="5"/>
  <c r="H490" i="5"/>
  <c r="I489" i="5"/>
  <c r="H489" i="5"/>
  <c r="I488" i="5"/>
  <c r="H488" i="5"/>
  <c r="I487" i="5"/>
  <c r="H487" i="5"/>
  <c r="I486" i="5"/>
  <c r="H486" i="5"/>
  <c r="I485" i="5"/>
  <c r="H485" i="5"/>
  <c r="I484" i="5"/>
  <c r="H484" i="5"/>
  <c r="I483" i="5"/>
  <c r="H483" i="5"/>
  <c r="I482" i="5"/>
  <c r="H482" i="5"/>
  <c r="I481" i="5"/>
  <c r="H481" i="5"/>
  <c r="I480" i="5"/>
  <c r="H480" i="5"/>
  <c r="I479" i="5"/>
  <c r="H479" i="5"/>
  <c r="I478" i="5"/>
  <c r="H478" i="5"/>
  <c r="I477" i="5"/>
  <c r="H477" i="5"/>
  <c r="I476" i="5"/>
  <c r="H476" i="5"/>
  <c r="I475" i="5"/>
  <c r="H475" i="5"/>
  <c r="I474" i="5"/>
  <c r="H474" i="5"/>
  <c r="I473" i="5"/>
  <c r="H473" i="5"/>
  <c r="I472" i="5"/>
  <c r="H472" i="5"/>
  <c r="I471" i="5"/>
  <c r="H471" i="5"/>
  <c r="I470" i="5"/>
  <c r="H470" i="5"/>
  <c r="I469" i="5"/>
  <c r="H469" i="5"/>
  <c r="I468" i="5"/>
  <c r="H468" i="5"/>
  <c r="I467" i="5"/>
  <c r="H467" i="5"/>
  <c r="I466" i="5"/>
  <c r="H466" i="5"/>
  <c r="I465" i="5"/>
  <c r="H465" i="5"/>
  <c r="I464" i="5"/>
  <c r="H464" i="5"/>
  <c r="I463" i="5"/>
  <c r="H463" i="5"/>
  <c r="I462" i="5"/>
  <c r="H462" i="5"/>
  <c r="I461" i="5"/>
  <c r="H461" i="5"/>
  <c r="I460" i="5"/>
  <c r="H460" i="5"/>
  <c r="I459" i="5"/>
  <c r="H459" i="5"/>
  <c r="I458" i="5"/>
  <c r="H458" i="5"/>
  <c r="I457" i="5"/>
  <c r="H457" i="5"/>
  <c r="I456" i="5"/>
  <c r="H456" i="5"/>
  <c r="I455" i="5"/>
  <c r="H455" i="5"/>
  <c r="I454" i="5"/>
  <c r="H454" i="5"/>
  <c r="I453" i="5"/>
  <c r="H453" i="5"/>
  <c r="I452" i="5"/>
  <c r="H452" i="5"/>
  <c r="I451" i="5"/>
  <c r="H451" i="5"/>
  <c r="I450" i="5"/>
  <c r="H450" i="5"/>
  <c r="I449" i="5"/>
  <c r="H449" i="5"/>
  <c r="I448" i="5"/>
  <c r="H448" i="5"/>
  <c r="I447" i="5"/>
  <c r="H447" i="5"/>
  <c r="I446" i="5"/>
  <c r="H446" i="5"/>
  <c r="I445" i="5"/>
  <c r="H445" i="5"/>
  <c r="I444" i="5"/>
  <c r="H444" i="5"/>
  <c r="I443" i="5"/>
  <c r="H443" i="5"/>
  <c r="I442" i="5"/>
  <c r="H442" i="5"/>
  <c r="I441" i="5"/>
  <c r="H441" i="5"/>
  <c r="I440" i="5"/>
  <c r="H440" i="5"/>
  <c r="I439" i="5"/>
  <c r="H439" i="5"/>
  <c r="I438" i="5"/>
  <c r="H438" i="5"/>
  <c r="I437" i="5"/>
  <c r="H437" i="5"/>
  <c r="I436" i="5"/>
  <c r="H436" i="5"/>
  <c r="I435" i="5"/>
  <c r="H435" i="5"/>
  <c r="I434" i="5"/>
  <c r="H434" i="5"/>
  <c r="I433" i="5"/>
  <c r="H433" i="5"/>
  <c r="I432" i="5"/>
  <c r="H432" i="5"/>
  <c r="I431" i="5"/>
  <c r="H431" i="5"/>
  <c r="I430" i="5"/>
  <c r="H430" i="5"/>
  <c r="I429" i="5"/>
  <c r="H429" i="5"/>
  <c r="I428" i="5"/>
  <c r="H428" i="5"/>
  <c r="I427" i="5"/>
  <c r="H427" i="5"/>
  <c r="I426" i="5"/>
  <c r="H426" i="5"/>
  <c r="I425" i="5"/>
  <c r="H425" i="5"/>
  <c r="I424" i="5"/>
  <c r="H424" i="5"/>
  <c r="I423" i="5"/>
  <c r="H423" i="5"/>
  <c r="I422" i="5"/>
  <c r="H422" i="5"/>
  <c r="I421" i="5"/>
  <c r="H421" i="5"/>
  <c r="I420" i="5"/>
  <c r="H420" i="5"/>
  <c r="I419" i="5"/>
  <c r="H419" i="5"/>
  <c r="I418" i="5"/>
  <c r="H418" i="5"/>
  <c r="I417" i="5"/>
  <c r="H417" i="5"/>
  <c r="I416" i="5"/>
  <c r="H416" i="5"/>
  <c r="I415" i="5"/>
  <c r="H415" i="5"/>
  <c r="I414" i="5"/>
  <c r="H414" i="5"/>
  <c r="I413" i="5"/>
  <c r="H413" i="5"/>
  <c r="I412" i="5"/>
  <c r="H412" i="5"/>
  <c r="I411" i="5"/>
  <c r="H411" i="5"/>
  <c r="I410" i="5"/>
  <c r="H410" i="5"/>
  <c r="I409" i="5"/>
  <c r="H409" i="5"/>
  <c r="I408" i="5"/>
  <c r="H408" i="5"/>
  <c r="I407" i="5"/>
  <c r="H407" i="5"/>
  <c r="I406" i="5"/>
  <c r="H406" i="5"/>
  <c r="I405" i="5"/>
  <c r="H405" i="5"/>
  <c r="I404" i="5"/>
  <c r="H404" i="5"/>
  <c r="I403" i="5"/>
  <c r="H403" i="5"/>
  <c r="I402" i="5"/>
  <c r="H402" i="5"/>
  <c r="I401" i="5"/>
  <c r="H401" i="5"/>
  <c r="I400" i="5"/>
  <c r="H400" i="5"/>
  <c r="I399" i="5"/>
  <c r="H399" i="5"/>
  <c r="I398" i="5"/>
  <c r="H398" i="5"/>
  <c r="I397" i="5"/>
  <c r="H397" i="5"/>
  <c r="I396" i="5"/>
  <c r="H396" i="5"/>
  <c r="I395" i="5"/>
  <c r="H395" i="5"/>
  <c r="I394" i="5"/>
  <c r="H394" i="5"/>
  <c r="I393" i="5"/>
  <c r="H393" i="5"/>
  <c r="I392" i="5"/>
  <c r="H392" i="5"/>
  <c r="I391" i="5"/>
  <c r="H391" i="5"/>
  <c r="I390" i="5"/>
  <c r="H390" i="5"/>
  <c r="I389" i="5"/>
  <c r="H389" i="5"/>
  <c r="I388" i="5"/>
  <c r="H388" i="5"/>
  <c r="I387" i="5"/>
  <c r="H387" i="5"/>
  <c r="I386" i="5"/>
  <c r="H386" i="5"/>
  <c r="I385" i="5"/>
  <c r="H385" i="5"/>
  <c r="I384" i="5"/>
  <c r="H384" i="5"/>
  <c r="I383" i="5"/>
  <c r="H383" i="5"/>
  <c r="I382" i="5"/>
  <c r="H382" i="5"/>
  <c r="I381" i="5"/>
  <c r="H381" i="5"/>
  <c r="I380" i="5"/>
  <c r="H380" i="5"/>
  <c r="I379" i="5"/>
  <c r="H379" i="5"/>
  <c r="I378" i="5"/>
  <c r="H378" i="5"/>
  <c r="I377" i="5"/>
  <c r="H377" i="5"/>
  <c r="I376" i="5"/>
  <c r="H376" i="5"/>
  <c r="I375" i="5"/>
  <c r="H375" i="5"/>
  <c r="I374" i="5"/>
  <c r="H374" i="5"/>
  <c r="I373" i="5"/>
  <c r="H373" i="5"/>
  <c r="I372" i="5"/>
  <c r="H372" i="5"/>
  <c r="I371" i="5"/>
  <c r="H371" i="5"/>
  <c r="I370" i="5"/>
  <c r="H370" i="5"/>
  <c r="I369" i="5"/>
  <c r="H369" i="5"/>
  <c r="I368" i="5"/>
  <c r="H368" i="5"/>
  <c r="I367" i="5"/>
  <c r="H367" i="5"/>
  <c r="I366" i="5"/>
  <c r="H366" i="5"/>
  <c r="I365" i="5"/>
  <c r="H365" i="5"/>
  <c r="I364" i="5"/>
  <c r="H364" i="5"/>
  <c r="I363" i="5"/>
  <c r="H363" i="5"/>
  <c r="I362" i="5"/>
  <c r="H362" i="5"/>
  <c r="I361" i="5"/>
  <c r="H361" i="5"/>
  <c r="I360" i="5"/>
  <c r="H360" i="5"/>
  <c r="I359" i="5"/>
  <c r="H359" i="5"/>
  <c r="I358" i="5"/>
  <c r="H358" i="5"/>
  <c r="I357" i="5"/>
  <c r="H357" i="5"/>
  <c r="I356" i="5"/>
  <c r="H356" i="5"/>
  <c r="I355" i="5"/>
  <c r="H355" i="5"/>
  <c r="I354" i="5"/>
  <c r="H354" i="5"/>
  <c r="I353" i="5"/>
  <c r="H353" i="5"/>
  <c r="I352" i="5"/>
  <c r="H352" i="5"/>
  <c r="I351" i="5"/>
  <c r="H351" i="5"/>
  <c r="I350" i="5"/>
  <c r="H350" i="5"/>
  <c r="I349" i="5"/>
  <c r="H349" i="5"/>
  <c r="I348" i="5"/>
  <c r="H348" i="5"/>
  <c r="I347" i="5"/>
  <c r="H347" i="5"/>
  <c r="I346" i="5"/>
  <c r="H346" i="5"/>
  <c r="I345" i="5"/>
  <c r="H345" i="5"/>
  <c r="I344" i="5"/>
  <c r="H344" i="5"/>
  <c r="I343" i="5"/>
  <c r="H343" i="5"/>
  <c r="I342" i="5"/>
  <c r="H342" i="5"/>
  <c r="I341" i="5"/>
  <c r="H341" i="5"/>
  <c r="I340" i="5"/>
  <c r="H340" i="5"/>
  <c r="I339" i="5"/>
  <c r="H339" i="5"/>
  <c r="I338" i="5"/>
  <c r="H338" i="5"/>
  <c r="I337" i="5"/>
  <c r="H337" i="5"/>
  <c r="I336" i="5"/>
  <c r="H336" i="5"/>
  <c r="I335" i="5"/>
  <c r="H335" i="5"/>
  <c r="I334" i="5"/>
  <c r="H334" i="5"/>
  <c r="I333" i="5"/>
  <c r="H333" i="5"/>
  <c r="I332" i="5"/>
  <c r="H332" i="5"/>
  <c r="I331" i="5"/>
  <c r="H331" i="5"/>
  <c r="I330" i="5"/>
  <c r="H330" i="5"/>
  <c r="I329" i="5"/>
  <c r="H329" i="5"/>
  <c r="I328" i="5"/>
  <c r="H328" i="5"/>
  <c r="I327" i="5"/>
  <c r="H327" i="5"/>
  <c r="I326" i="5"/>
  <c r="H326" i="5"/>
  <c r="I325" i="5"/>
  <c r="H325" i="5"/>
  <c r="I324" i="5"/>
  <c r="H324" i="5"/>
  <c r="I323" i="5"/>
  <c r="H323" i="5"/>
  <c r="I322" i="5"/>
  <c r="H322" i="5"/>
  <c r="I321" i="5"/>
  <c r="H321" i="5"/>
  <c r="I320" i="5"/>
  <c r="H320" i="5"/>
  <c r="I319" i="5"/>
  <c r="H319" i="5"/>
  <c r="I318" i="5"/>
  <c r="H318" i="5"/>
  <c r="I317" i="5"/>
  <c r="H317" i="5"/>
  <c r="I316" i="5"/>
  <c r="H316" i="5"/>
  <c r="I315" i="5"/>
  <c r="H315" i="5"/>
  <c r="I314" i="5"/>
  <c r="H314" i="5"/>
  <c r="I313" i="5"/>
  <c r="H313" i="5"/>
  <c r="I312" i="5"/>
  <c r="H312" i="5"/>
  <c r="I311" i="5"/>
  <c r="H311" i="5"/>
  <c r="I310" i="5"/>
  <c r="H310" i="5"/>
  <c r="I309" i="5"/>
  <c r="H309" i="5"/>
  <c r="I308" i="5"/>
  <c r="H308" i="5"/>
  <c r="I307" i="5"/>
  <c r="H307" i="5"/>
  <c r="I306" i="5"/>
  <c r="H306" i="5"/>
  <c r="I305" i="5"/>
  <c r="H305" i="5"/>
  <c r="I304" i="5"/>
  <c r="H304" i="5"/>
  <c r="I303" i="5"/>
  <c r="H303" i="5"/>
  <c r="I302" i="5"/>
  <c r="H302" i="5"/>
  <c r="I301" i="5"/>
  <c r="H301" i="5"/>
  <c r="I300" i="5"/>
  <c r="H300" i="5"/>
  <c r="I299" i="5"/>
  <c r="H299" i="5"/>
  <c r="I298" i="5"/>
  <c r="H298" i="5"/>
  <c r="I297" i="5"/>
  <c r="H297" i="5"/>
  <c r="I296" i="5"/>
  <c r="H296" i="5"/>
  <c r="I295" i="5"/>
  <c r="H295" i="5"/>
  <c r="I294" i="5"/>
  <c r="H294" i="5"/>
  <c r="I293" i="5"/>
  <c r="H293" i="5"/>
  <c r="I292" i="5"/>
  <c r="H292" i="5"/>
  <c r="I291" i="5"/>
  <c r="H291" i="5"/>
  <c r="I290" i="5"/>
  <c r="H290" i="5"/>
  <c r="I289" i="5"/>
  <c r="H289" i="5"/>
  <c r="I288" i="5"/>
  <c r="H288" i="5"/>
  <c r="I287" i="5"/>
  <c r="H287" i="5"/>
  <c r="I286" i="5"/>
  <c r="H286" i="5"/>
  <c r="I285" i="5"/>
  <c r="H285" i="5"/>
  <c r="I284" i="5"/>
  <c r="H284" i="5"/>
  <c r="I283" i="5"/>
  <c r="H283" i="5"/>
  <c r="I282" i="5"/>
  <c r="H282" i="5"/>
  <c r="I281" i="5"/>
  <c r="H281" i="5"/>
  <c r="I280" i="5"/>
  <c r="H280" i="5"/>
  <c r="I279" i="5"/>
  <c r="H279" i="5"/>
  <c r="I278" i="5"/>
  <c r="H278" i="5"/>
  <c r="I277" i="5"/>
  <c r="H277" i="5"/>
  <c r="I276" i="5"/>
  <c r="H276" i="5"/>
  <c r="I275" i="5"/>
  <c r="H275" i="5"/>
  <c r="I274" i="5"/>
  <c r="H274" i="5"/>
  <c r="I273" i="5"/>
  <c r="H273" i="5"/>
  <c r="I272" i="5"/>
  <c r="H272" i="5"/>
  <c r="I271" i="5"/>
  <c r="H271" i="5"/>
  <c r="I270" i="5"/>
  <c r="H270" i="5"/>
  <c r="I269" i="5"/>
  <c r="H269" i="5"/>
  <c r="I268" i="5"/>
  <c r="H268" i="5"/>
  <c r="I267" i="5"/>
  <c r="H267" i="5"/>
  <c r="I266" i="5"/>
  <c r="H266" i="5"/>
  <c r="I265" i="5"/>
  <c r="H265" i="5"/>
  <c r="I264" i="5"/>
  <c r="H264" i="5"/>
  <c r="I263" i="5"/>
  <c r="H263" i="5"/>
  <c r="I262" i="5"/>
  <c r="H262" i="5"/>
  <c r="I261" i="5"/>
  <c r="H261" i="5"/>
  <c r="I260" i="5"/>
  <c r="H260" i="5"/>
  <c r="I259" i="5"/>
  <c r="H259" i="5"/>
  <c r="I258" i="5"/>
  <c r="H258" i="5"/>
  <c r="I257" i="5"/>
  <c r="H257" i="5"/>
  <c r="I256" i="5"/>
  <c r="H256" i="5"/>
  <c r="I255" i="5"/>
  <c r="H255" i="5"/>
  <c r="I254" i="5"/>
  <c r="H254" i="5"/>
  <c r="I253" i="5"/>
  <c r="H253" i="5"/>
  <c r="I252" i="5"/>
  <c r="H252" i="5"/>
  <c r="I251" i="5"/>
  <c r="H251" i="5"/>
  <c r="I250" i="5"/>
  <c r="H250" i="5"/>
  <c r="I249" i="5"/>
  <c r="H249" i="5"/>
  <c r="I248" i="5"/>
  <c r="H248" i="5"/>
  <c r="I247" i="5"/>
  <c r="H247" i="5"/>
  <c r="I246" i="5"/>
  <c r="H246" i="5"/>
  <c r="I245" i="5"/>
  <c r="H245" i="5"/>
  <c r="I244" i="5"/>
  <c r="H244" i="5"/>
  <c r="I243" i="5"/>
  <c r="H243" i="5"/>
  <c r="I242" i="5"/>
  <c r="H242" i="5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8" i="5"/>
  <c r="H208" i="5"/>
  <c r="I207" i="5"/>
  <c r="H207" i="5"/>
  <c r="I206" i="5"/>
  <c r="H206" i="5"/>
  <c r="I205" i="5"/>
  <c r="H205" i="5"/>
  <c r="I204" i="5"/>
  <c r="H204" i="5"/>
  <c r="I203" i="5"/>
  <c r="H203" i="5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2" i="5"/>
  <c r="H122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I12" i="5"/>
  <c r="I11" i="5"/>
  <c r="H11" i="5"/>
  <c r="B6" i="5"/>
  <c r="I7" i="5"/>
  <c r="A6" i="5"/>
  <c r="L205" i="4"/>
  <c r="J205" i="4"/>
  <c r="K205" i="4"/>
  <c r="M205" i="4"/>
  <c r="L204" i="4"/>
  <c r="J204" i="4"/>
  <c r="K204" i="4"/>
  <c r="M204" i="4"/>
  <c r="L203" i="4"/>
  <c r="J203" i="4"/>
  <c r="K203" i="4"/>
  <c r="M203" i="4"/>
  <c r="L202" i="4"/>
  <c r="J202" i="4"/>
  <c r="K202" i="4"/>
  <c r="M202" i="4"/>
  <c r="L201" i="4"/>
  <c r="J201" i="4"/>
  <c r="K201" i="4"/>
  <c r="M201" i="4"/>
  <c r="L200" i="4"/>
  <c r="J200" i="4"/>
  <c r="K200" i="4"/>
  <c r="M200" i="4"/>
  <c r="L199" i="4"/>
  <c r="J199" i="4"/>
  <c r="K199" i="4"/>
  <c r="M199" i="4"/>
  <c r="L198" i="4"/>
  <c r="J198" i="4"/>
  <c r="K198" i="4"/>
  <c r="M198" i="4"/>
  <c r="L197" i="4"/>
  <c r="J197" i="4"/>
  <c r="K197" i="4"/>
  <c r="M197" i="4"/>
  <c r="L196" i="4"/>
  <c r="J196" i="4"/>
  <c r="K196" i="4"/>
  <c r="M196" i="4"/>
  <c r="L195" i="4"/>
  <c r="J195" i="4"/>
  <c r="K195" i="4"/>
  <c r="M195" i="4"/>
  <c r="L194" i="4"/>
  <c r="J194" i="4"/>
  <c r="K194" i="4"/>
  <c r="M194" i="4"/>
  <c r="L193" i="4"/>
  <c r="J193" i="4"/>
  <c r="K193" i="4"/>
  <c r="M193" i="4"/>
  <c r="L192" i="4"/>
  <c r="J192" i="4"/>
  <c r="K192" i="4"/>
  <c r="M192" i="4"/>
  <c r="L191" i="4"/>
  <c r="J191" i="4"/>
  <c r="K191" i="4"/>
  <c r="M191" i="4"/>
  <c r="L190" i="4"/>
  <c r="J190" i="4"/>
  <c r="K190" i="4"/>
  <c r="M190" i="4"/>
  <c r="L189" i="4"/>
  <c r="J189" i="4"/>
  <c r="K189" i="4"/>
  <c r="M189" i="4"/>
  <c r="L188" i="4"/>
  <c r="J188" i="4"/>
  <c r="K188" i="4"/>
  <c r="M188" i="4"/>
  <c r="L187" i="4"/>
  <c r="J187" i="4"/>
  <c r="K187" i="4"/>
  <c r="M187" i="4"/>
  <c r="L186" i="4"/>
  <c r="J186" i="4"/>
  <c r="K186" i="4"/>
  <c r="M186" i="4"/>
  <c r="L185" i="4"/>
  <c r="J185" i="4"/>
  <c r="K185" i="4"/>
  <c r="M185" i="4"/>
  <c r="L184" i="4"/>
  <c r="J184" i="4"/>
  <c r="K184" i="4"/>
  <c r="M184" i="4"/>
  <c r="L183" i="4"/>
  <c r="J183" i="4"/>
  <c r="K183" i="4"/>
  <c r="M183" i="4"/>
  <c r="L182" i="4"/>
  <c r="J182" i="4"/>
  <c r="K182" i="4"/>
  <c r="M182" i="4"/>
  <c r="L181" i="4"/>
  <c r="J181" i="4"/>
  <c r="K181" i="4"/>
  <c r="M181" i="4"/>
  <c r="L180" i="4"/>
  <c r="J180" i="4"/>
  <c r="K180" i="4"/>
  <c r="M180" i="4"/>
  <c r="L179" i="4"/>
  <c r="J179" i="4"/>
  <c r="K179" i="4"/>
  <c r="M179" i="4"/>
  <c r="L178" i="4"/>
  <c r="J178" i="4"/>
  <c r="K178" i="4"/>
  <c r="M178" i="4"/>
  <c r="L177" i="4"/>
  <c r="J177" i="4"/>
  <c r="K177" i="4"/>
  <c r="M177" i="4"/>
  <c r="L176" i="4"/>
  <c r="J176" i="4"/>
  <c r="K176" i="4"/>
  <c r="M176" i="4"/>
  <c r="L175" i="4"/>
  <c r="J175" i="4"/>
  <c r="K175" i="4"/>
  <c r="M175" i="4"/>
  <c r="L174" i="4"/>
  <c r="J174" i="4"/>
  <c r="K174" i="4"/>
  <c r="M174" i="4"/>
  <c r="L173" i="4"/>
  <c r="J173" i="4"/>
  <c r="K173" i="4"/>
  <c r="M173" i="4"/>
  <c r="L172" i="4"/>
  <c r="J172" i="4"/>
  <c r="K172" i="4"/>
  <c r="M172" i="4"/>
  <c r="L171" i="4"/>
  <c r="J171" i="4"/>
  <c r="K171" i="4"/>
  <c r="M171" i="4"/>
  <c r="L170" i="4"/>
  <c r="J170" i="4"/>
  <c r="K170" i="4"/>
  <c r="M170" i="4"/>
  <c r="L169" i="4"/>
  <c r="J169" i="4"/>
  <c r="K169" i="4"/>
  <c r="M169" i="4"/>
  <c r="L168" i="4"/>
  <c r="J168" i="4"/>
  <c r="K168" i="4"/>
  <c r="M168" i="4"/>
  <c r="L167" i="4"/>
  <c r="J167" i="4"/>
  <c r="K167" i="4"/>
  <c r="M167" i="4"/>
  <c r="L166" i="4"/>
  <c r="J166" i="4"/>
  <c r="K166" i="4"/>
  <c r="M166" i="4"/>
  <c r="L165" i="4"/>
  <c r="J165" i="4"/>
  <c r="K165" i="4"/>
  <c r="M165" i="4"/>
  <c r="L164" i="4"/>
  <c r="J164" i="4"/>
  <c r="K164" i="4"/>
  <c r="M164" i="4"/>
  <c r="L163" i="4"/>
  <c r="J163" i="4"/>
  <c r="K163" i="4"/>
  <c r="M163" i="4"/>
  <c r="L162" i="4"/>
  <c r="J162" i="4"/>
  <c r="K162" i="4"/>
  <c r="M162" i="4"/>
  <c r="L161" i="4"/>
  <c r="J161" i="4"/>
  <c r="K161" i="4"/>
  <c r="M161" i="4"/>
  <c r="L160" i="4"/>
  <c r="J160" i="4"/>
  <c r="K160" i="4"/>
  <c r="M160" i="4"/>
  <c r="L159" i="4"/>
  <c r="J159" i="4"/>
  <c r="K159" i="4"/>
  <c r="M159" i="4"/>
  <c r="L158" i="4"/>
  <c r="J158" i="4"/>
  <c r="K158" i="4"/>
  <c r="M158" i="4"/>
  <c r="L157" i="4"/>
  <c r="J157" i="4"/>
  <c r="K157" i="4"/>
  <c r="M157" i="4"/>
  <c r="L156" i="4"/>
  <c r="J156" i="4"/>
  <c r="K156" i="4"/>
  <c r="M156" i="4"/>
  <c r="L155" i="4"/>
  <c r="J155" i="4"/>
  <c r="K155" i="4"/>
  <c r="M155" i="4"/>
  <c r="L154" i="4"/>
  <c r="J154" i="4"/>
  <c r="K154" i="4"/>
  <c r="M154" i="4"/>
  <c r="L153" i="4"/>
  <c r="J153" i="4"/>
  <c r="K153" i="4"/>
  <c r="M153" i="4"/>
  <c r="L152" i="4"/>
  <c r="J152" i="4"/>
  <c r="K152" i="4"/>
  <c r="M152" i="4"/>
  <c r="L151" i="4"/>
  <c r="J151" i="4"/>
  <c r="K151" i="4"/>
  <c r="M151" i="4"/>
  <c r="L150" i="4"/>
  <c r="J150" i="4"/>
  <c r="K150" i="4"/>
  <c r="M150" i="4"/>
  <c r="L149" i="4"/>
  <c r="J149" i="4"/>
  <c r="K149" i="4"/>
  <c r="M149" i="4"/>
  <c r="L148" i="4"/>
  <c r="J148" i="4"/>
  <c r="K148" i="4"/>
  <c r="M148" i="4"/>
  <c r="L147" i="4"/>
  <c r="J147" i="4"/>
  <c r="K147" i="4"/>
  <c r="M147" i="4"/>
  <c r="L146" i="4"/>
  <c r="J146" i="4"/>
  <c r="K146" i="4"/>
  <c r="M146" i="4"/>
  <c r="L145" i="4"/>
  <c r="J145" i="4"/>
  <c r="K145" i="4"/>
  <c r="M145" i="4"/>
  <c r="L144" i="4"/>
  <c r="J144" i="4"/>
  <c r="K144" i="4"/>
  <c r="M144" i="4"/>
  <c r="L143" i="4"/>
  <c r="J143" i="4"/>
  <c r="K143" i="4"/>
  <c r="M143" i="4"/>
  <c r="L142" i="4"/>
  <c r="J142" i="4"/>
  <c r="K142" i="4"/>
  <c r="M142" i="4"/>
  <c r="L141" i="4"/>
  <c r="J141" i="4"/>
  <c r="K141" i="4"/>
  <c r="M141" i="4"/>
  <c r="L140" i="4"/>
  <c r="J140" i="4"/>
  <c r="K140" i="4"/>
  <c r="M140" i="4"/>
  <c r="L139" i="4"/>
  <c r="J139" i="4"/>
  <c r="K139" i="4"/>
  <c r="M139" i="4"/>
  <c r="L138" i="4"/>
  <c r="J138" i="4"/>
  <c r="K138" i="4"/>
  <c r="M138" i="4"/>
  <c r="L137" i="4"/>
  <c r="J137" i="4"/>
  <c r="K137" i="4"/>
  <c r="M137" i="4"/>
  <c r="L136" i="4"/>
  <c r="J136" i="4"/>
  <c r="K136" i="4"/>
  <c r="M136" i="4"/>
  <c r="L135" i="4"/>
  <c r="J135" i="4"/>
  <c r="K135" i="4"/>
  <c r="M135" i="4"/>
  <c r="L134" i="4"/>
  <c r="J134" i="4"/>
  <c r="K134" i="4"/>
  <c r="M134" i="4"/>
  <c r="L133" i="4"/>
  <c r="J133" i="4"/>
  <c r="K133" i="4"/>
  <c r="M133" i="4"/>
  <c r="L132" i="4"/>
  <c r="J132" i="4"/>
  <c r="K132" i="4"/>
  <c r="M132" i="4"/>
  <c r="L131" i="4"/>
  <c r="J131" i="4"/>
  <c r="K131" i="4"/>
  <c r="M131" i="4"/>
  <c r="L130" i="4"/>
  <c r="J130" i="4"/>
  <c r="K130" i="4"/>
  <c r="M130" i="4"/>
  <c r="L129" i="4"/>
  <c r="J129" i="4"/>
  <c r="K129" i="4"/>
  <c r="M129" i="4"/>
  <c r="L128" i="4"/>
  <c r="J128" i="4"/>
  <c r="K128" i="4"/>
  <c r="M128" i="4"/>
  <c r="L127" i="4"/>
  <c r="J127" i="4"/>
  <c r="K127" i="4"/>
  <c r="M127" i="4"/>
  <c r="L126" i="4"/>
  <c r="J126" i="4"/>
  <c r="K126" i="4"/>
  <c r="M126" i="4"/>
  <c r="L125" i="4"/>
  <c r="J125" i="4"/>
  <c r="K125" i="4"/>
  <c r="M125" i="4"/>
  <c r="L124" i="4"/>
  <c r="J124" i="4"/>
  <c r="K124" i="4"/>
  <c r="M124" i="4"/>
  <c r="L123" i="4"/>
  <c r="J123" i="4"/>
  <c r="K123" i="4"/>
  <c r="M123" i="4"/>
  <c r="L122" i="4"/>
  <c r="J122" i="4"/>
  <c r="K122" i="4"/>
  <c r="M122" i="4"/>
  <c r="L121" i="4"/>
  <c r="J121" i="4"/>
  <c r="K121" i="4"/>
  <c r="M121" i="4"/>
  <c r="L120" i="4"/>
  <c r="J120" i="4"/>
  <c r="K120" i="4"/>
  <c r="M120" i="4"/>
  <c r="L119" i="4"/>
  <c r="J119" i="4"/>
  <c r="K119" i="4"/>
  <c r="M119" i="4"/>
  <c r="L118" i="4"/>
  <c r="J118" i="4"/>
  <c r="K118" i="4"/>
  <c r="M118" i="4"/>
  <c r="L117" i="4"/>
  <c r="J117" i="4"/>
  <c r="K117" i="4"/>
  <c r="M117" i="4"/>
  <c r="L116" i="4"/>
  <c r="J116" i="4"/>
  <c r="K116" i="4"/>
  <c r="M116" i="4"/>
  <c r="L115" i="4"/>
  <c r="J115" i="4"/>
  <c r="K115" i="4"/>
  <c r="M115" i="4"/>
  <c r="L114" i="4"/>
  <c r="J114" i="4"/>
  <c r="K114" i="4"/>
  <c r="M114" i="4"/>
  <c r="L113" i="4"/>
  <c r="J113" i="4"/>
  <c r="K113" i="4"/>
  <c r="M113" i="4"/>
  <c r="L112" i="4"/>
  <c r="J112" i="4"/>
  <c r="K112" i="4"/>
  <c r="M112" i="4"/>
  <c r="L111" i="4"/>
  <c r="J111" i="4"/>
  <c r="K111" i="4"/>
  <c r="M111" i="4"/>
  <c r="L110" i="4"/>
  <c r="J110" i="4"/>
  <c r="K110" i="4"/>
  <c r="M110" i="4"/>
  <c r="L109" i="4"/>
  <c r="J109" i="4"/>
  <c r="K109" i="4"/>
  <c r="M109" i="4"/>
  <c r="L108" i="4"/>
  <c r="J108" i="4"/>
  <c r="K108" i="4"/>
  <c r="M108" i="4"/>
  <c r="L107" i="4"/>
  <c r="J107" i="4"/>
  <c r="K107" i="4"/>
  <c r="M107" i="4"/>
  <c r="L106" i="4"/>
  <c r="J106" i="4"/>
  <c r="K106" i="4"/>
  <c r="M106" i="4"/>
  <c r="L105" i="4"/>
  <c r="J105" i="4"/>
  <c r="K105" i="4"/>
  <c r="M105" i="4"/>
  <c r="L104" i="4"/>
  <c r="J104" i="4"/>
  <c r="K104" i="4"/>
  <c r="M104" i="4"/>
  <c r="L103" i="4"/>
  <c r="J103" i="4"/>
  <c r="K103" i="4"/>
  <c r="M103" i="4"/>
  <c r="L102" i="4"/>
  <c r="J102" i="4"/>
  <c r="K102" i="4"/>
  <c r="M102" i="4"/>
  <c r="L101" i="4"/>
  <c r="J101" i="4"/>
  <c r="K101" i="4"/>
  <c r="M101" i="4"/>
  <c r="L100" i="4"/>
  <c r="J100" i="4"/>
  <c r="K100" i="4"/>
  <c r="M100" i="4"/>
  <c r="L99" i="4"/>
  <c r="J99" i="4"/>
  <c r="K99" i="4"/>
  <c r="M99" i="4"/>
  <c r="L98" i="4"/>
  <c r="J98" i="4"/>
  <c r="K98" i="4"/>
  <c r="M98" i="4"/>
  <c r="L97" i="4"/>
  <c r="J97" i="4"/>
  <c r="K97" i="4"/>
  <c r="M97" i="4"/>
  <c r="L96" i="4"/>
  <c r="J96" i="4"/>
  <c r="K96" i="4"/>
  <c r="M96" i="4"/>
  <c r="L95" i="4"/>
  <c r="J95" i="4"/>
  <c r="K95" i="4"/>
  <c r="M95" i="4"/>
  <c r="L94" i="4"/>
  <c r="J94" i="4"/>
  <c r="K94" i="4"/>
  <c r="M94" i="4"/>
  <c r="L93" i="4"/>
  <c r="J93" i="4"/>
  <c r="K93" i="4"/>
  <c r="M93" i="4"/>
  <c r="L92" i="4"/>
  <c r="J92" i="4"/>
  <c r="K92" i="4"/>
  <c r="M92" i="4"/>
  <c r="L91" i="4"/>
  <c r="J91" i="4"/>
  <c r="K91" i="4"/>
  <c r="M91" i="4"/>
  <c r="L90" i="4"/>
  <c r="J90" i="4"/>
  <c r="K90" i="4"/>
  <c r="M90" i="4"/>
  <c r="L89" i="4"/>
  <c r="J89" i="4"/>
  <c r="K89" i="4"/>
  <c r="M89" i="4"/>
  <c r="L88" i="4"/>
  <c r="J88" i="4"/>
  <c r="K88" i="4"/>
  <c r="M88" i="4"/>
  <c r="L87" i="4"/>
  <c r="J87" i="4"/>
  <c r="K87" i="4"/>
  <c r="M87" i="4"/>
  <c r="L86" i="4"/>
  <c r="J86" i="4"/>
  <c r="K86" i="4"/>
  <c r="M86" i="4"/>
  <c r="L85" i="4"/>
  <c r="J85" i="4"/>
  <c r="K85" i="4"/>
  <c r="M85" i="4"/>
  <c r="L84" i="4"/>
  <c r="J84" i="4"/>
  <c r="K84" i="4"/>
  <c r="M84" i="4"/>
  <c r="L83" i="4"/>
  <c r="J83" i="4"/>
  <c r="K83" i="4"/>
  <c r="M83" i="4"/>
  <c r="L82" i="4"/>
  <c r="J82" i="4"/>
  <c r="K82" i="4"/>
  <c r="M82" i="4"/>
  <c r="L81" i="4"/>
  <c r="J81" i="4"/>
  <c r="K81" i="4"/>
  <c r="M81" i="4"/>
  <c r="L80" i="4"/>
  <c r="J80" i="4"/>
  <c r="K80" i="4"/>
  <c r="M80" i="4"/>
  <c r="L79" i="4"/>
  <c r="J79" i="4"/>
  <c r="K79" i="4"/>
  <c r="M79" i="4"/>
  <c r="L78" i="4"/>
  <c r="J78" i="4"/>
  <c r="K78" i="4"/>
  <c r="M78" i="4"/>
  <c r="L77" i="4"/>
  <c r="J77" i="4"/>
  <c r="K77" i="4"/>
  <c r="M77" i="4"/>
  <c r="L76" i="4"/>
  <c r="J76" i="4"/>
  <c r="K76" i="4"/>
  <c r="M76" i="4"/>
  <c r="L75" i="4"/>
  <c r="J75" i="4"/>
  <c r="K75" i="4"/>
  <c r="M75" i="4"/>
  <c r="L74" i="4"/>
  <c r="J74" i="4"/>
  <c r="K74" i="4"/>
  <c r="M74" i="4"/>
  <c r="L73" i="4"/>
  <c r="J73" i="4"/>
  <c r="K73" i="4"/>
  <c r="M73" i="4"/>
  <c r="L72" i="4"/>
  <c r="J72" i="4"/>
  <c r="K72" i="4"/>
  <c r="M72" i="4"/>
  <c r="L71" i="4"/>
  <c r="J71" i="4"/>
  <c r="K71" i="4"/>
  <c r="M71" i="4"/>
  <c r="L70" i="4"/>
  <c r="J70" i="4"/>
  <c r="K70" i="4"/>
  <c r="M70" i="4"/>
  <c r="L69" i="4"/>
  <c r="J69" i="4"/>
  <c r="K69" i="4"/>
  <c r="M69" i="4"/>
  <c r="L68" i="4"/>
  <c r="J68" i="4"/>
  <c r="K68" i="4"/>
  <c r="M68" i="4"/>
  <c r="L67" i="4"/>
  <c r="J67" i="4"/>
  <c r="K67" i="4"/>
  <c r="M67" i="4"/>
  <c r="L66" i="4"/>
  <c r="J66" i="4"/>
  <c r="K66" i="4"/>
  <c r="M66" i="4"/>
  <c r="L65" i="4"/>
  <c r="J65" i="4"/>
  <c r="K65" i="4"/>
  <c r="M65" i="4"/>
  <c r="L64" i="4"/>
  <c r="J64" i="4"/>
  <c r="K64" i="4"/>
  <c r="M64" i="4"/>
  <c r="L63" i="4"/>
  <c r="J63" i="4"/>
  <c r="K63" i="4"/>
  <c r="M63" i="4"/>
  <c r="L62" i="4"/>
  <c r="J62" i="4"/>
  <c r="K62" i="4"/>
  <c r="M62" i="4"/>
  <c r="L61" i="4"/>
  <c r="J61" i="4"/>
  <c r="K61" i="4"/>
  <c r="M61" i="4"/>
  <c r="L60" i="4"/>
  <c r="J60" i="4"/>
  <c r="K60" i="4"/>
  <c r="M60" i="4"/>
  <c r="L59" i="4"/>
  <c r="J59" i="4"/>
  <c r="K59" i="4"/>
  <c r="M59" i="4"/>
  <c r="L58" i="4"/>
  <c r="J58" i="4"/>
  <c r="K58" i="4"/>
  <c r="M58" i="4"/>
  <c r="L57" i="4"/>
  <c r="J57" i="4"/>
  <c r="K57" i="4"/>
  <c r="M57" i="4"/>
  <c r="L56" i="4"/>
  <c r="J56" i="4"/>
  <c r="K56" i="4"/>
  <c r="M56" i="4"/>
  <c r="L55" i="4"/>
  <c r="J55" i="4"/>
  <c r="K55" i="4"/>
  <c r="M55" i="4"/>
  <c r="L54" i="4"/>
  <c r="J54" i="4"/>
  <c r="K54" i="4"/>
  <c r="M54" i="4"/>
  <c r="L53" i="4"/>
  <c r="J53" i="4"/>
  <c r="K53" i="4"/>
  <c r="M53" i="4"/>
  <c r="L52" i="4"/>
  <c r="J52" i="4"/>
  <c r="K52" i="4"/>
  <c r="M52" i="4"/>
  <c r="L51" i="4"/>
  <c r="J51" i="4"/>
  <c r="K51" i="4"/>
  <c r="M51" i="4"/>
  <c r="L50" i="4"/>
  <c r="J50" i="4"/>
  <c r="K50" i="4"/>
  <c r="M50" i="4"/>
  <c r="L49" i="4"/>
  <c r="J49" i="4"/>
  <c r="K49" i="4"/>
  <c r="M49" i="4"/>
  <c r="L48" i="4"/>
  <c r="J48" i="4"/>
  <c r="K48" i="4"/>
  <c r="M48" i="4"/>
  <c r="L47" i="4"/>
  <c r="J47" i="4"/>
  <c r="K47" i="4"/>
  <c r="M47" i="4"/>
  <c r="L46" i="4"/>
  <c r="J46" i="4"/>
  <c r="K46" i="4"/>
  <c r="M46" i="4"/>
  <c r="L45" i="4"/>
  <c r="J45" i="4"/>
  <c r="K45" i="4"/>
  <c r="M45" i="4"/>
  <c r="L44" i="4"/>
  <c r="J44" i="4"/>
  <c r="K44" i="4"/>
  <c r="M44" i="4"/>
  <c r="L43" i="4"/>
  <c r="J43" i="4"/>
  <c r="K43" i="4"/>
  <c r="M43" i="4"/>
  <c r="L42" i="4"/>
  <c r="J42" i="4"/>
  <c r="K42" i="4"/>
  <c r="M42" i="4"/>
  <c r="L41" i="4"/>
  <c r="J41" i="4"/>
  <c r="K41" i="4"/>
  <c r="M41" i="4"/>
  <c r="L40" i="4"/>
  <c r="J40" i="4"/>
  <c r="K40" i="4"/>
  <c r="M40" i="4"/>
  <c r="L39" i="4"/>
  <c r="J39" i="4"/>
  <c r="K39" i="4"/>
  <c r="M39" i="4"/>
  <c r="L38" i="4"/>
  <c r="J38" i="4"/>
  <c r="K38" i="4"/>
  <c r="M38" i="4"/>
  <c r="L37" i="4"/>
  <c r="J37" i="4"/>
  <c r="K37" i="4"/>
  <c r="M37" i="4"/>
  <c r="L36" i="4"/>
  <c r="J36" i="4"/>
  <c r="K36" i="4"/>
  <c r="M36" i="4"/>
  <c r="L35" i="4"/>
  <c r="J35" i="4"/>
  <c r="K35" i="4"/>
  <c r="M35" i="4"/>
  <c r="L34" i="4"/>
  <c r="J34" i="4"/>
  <c r="K34" i="4"/>
  <c r="M34" i="4"/>
  <c r="L33" i="4"/>
  <c r="J33" i="4"/>
  <c r="K33" i="4"/>
  <c r="M33" i="4"/>
  <c r="L32" i="4"/>
  <c r="J32" i="4"/>
  <c r="K32" i="4"/>
  <c r="M32" i="4"/>
  <c r="L31" i="4"/>
  <c r="J31" i="4"/>
  <c r="K31" i="4"/>
  <c r="M31" i="4"/>
  <c r="L30" i="4"/>
  <c r="J30" i="4"/>
  <c r="K30" i="4"/>
  <c r="M30" i="4"/>
  <c r="L29" i="4"/>
  <c r="J29" i="4"/>
  <c r="K29" i="4"/>
  <c r="M29" i="4"/>
  <c r="L28" i="4"/>
  <c r="J28" i="4"/>
  <c r="K28" i="4"/>
  <c r="M28" i="4"/>
  <c r="L27" i="4"/>
  <c r="J27" i="4"/>
  <c r="K27" i="4"/>
  <c r="M27" i="4"/>
  <c r="L26" i="4"/>
  <c r="J26" i="4"/>
  <c r="K26" i="4"/>
  <c r="M26" i="4"/>
  <c r="L25" i="4"/>
  <c r="J25" i="4"/>
  <c r="K25" i="4"/>
  <c r="M25" i="4"/>
  <c r="L24" i="4"/>
  <c r="J24" i="4"/>
  <c r="K24" i="4"/>
  <c r="M24" i="4"/>
  <c r="L23" i="4"/>
  <c r="J23" i="4"/>
  <c r="K23" i="4"/>
  <c r="M23" i="4"/>
  <c r="L22" i="4"/>
  <c r="J22" i="4"/>
  <c r="K22" i="4"/>
  <c r="M22" i="4"/>
  <c r="L21" i="4"/>
  <c r="J21" i="4"/>
  <c r="K21" i="4"/>
  <c r="M21" i="4"/>
  <c r="L20" i="4"/>
  <c r="J20" i="4"/>
  <c r="K20" i="4"/>
  <c r="M20" i="4"/>
  <c r="L19" i="4"/>
  <c r="J19" i="4"/>
  <c r="K19" i="4"/>
  <c r="M19" i="4"/>
  <c r="L18" i="4"/>
  <c r="J18" i="4"/>
  <c r="K18" i="4"/>
  <c r="M18" i="4"/>
  <c r="L17" i="4"/>
  <c r="J17" i="4"/>
  <c r="K17" i="4"/>
  <c r="M17" i="4"/>
  <c r="L16" i="4"/>
  <c r="J16" i="4"/>
  <c r="K16" i="4"/>
  <c r="M16" i="4"/>
  <c r="L15" i="4"/>
  <c r="J15" i="4"/>
  <c r="K15" i="4"/>
  <c r="M15" i="4"/>
  <c r="L14" i="4"/>
  <c r="J14" i="4"/>
  <c r="K14" i="4"/>
  <c r="M14" i="4"/>
  <c r="L13" i="4"/>
  <c r="J13" i="4"/>
  <c r="K13" i="4"/>
  <c r="M13" i="4"/>
  <c r="L12" i="4"/>
  <c r="J12" i="4"/>
  <c r="K12" i="4"/>
  <c r="M12" i="4"/>
  <c r="L11" i="4"/>
  <c r="J11" i="4"/>
  <c r="K11" i="4"/>
  <c r="M11" i="4"/>
  <c r="L10" i="4"/>
  <c r="J10" i="4"/>
  <c r="K10" i="4"/>
  <c r="M10" i="4"/>
  <c r="L9" i="4"/>
  <c r="J9" i="4"/>
  <c r="K9" i="4"/>
  <c r="M9" i="4"/>
  <c r="L8" i="4"/>
  <c r="J8" i="4"/>
  <c r="K8" i="4"/>
  <c r="M8" i="4"/>
  <c r="L7" i="4"/>
  <c r="J7" i="4"/>
  <c r="K7" i="4"/>
  <c r="M7" i="4"/>
  <c r="L6" i="4"/>
  <c r="J6" i="4"/>
  <c r="K6" i="4"/>
  <c r="M6" i="4"/>
  <c r="D47" i="2"/>
  <c r="D46" i="2"/>
  <c r="D45" i="2"/>
  <c r="D44" i="2"/>
  <c r="D43" i="2"/>
  <c r="D42" i="2"/>
  <c r="D41" i="2"/>
  <c r="D40" i="2"/>
  <c r="D48" i="2"/>
  <c r="B35" i="2"/>
  <c r="B34" i="2"/>
  <c r="F33" i="2"/>
  <c r="B33" i="2"/>
  <c r="D27" i="2"/>
  <c r="C27" i="2"/>
  <c r="E27" i="2"/>
  <c r="H41" i="2"/>
  <c r="B27" i="2"/>
  <c r="F27" i="2"/>
  <c r="G27" i="2"/>
  <c r="D26" i="2"/>
  <c r="C26" i="2"/>
  <c r="B26" i="2"/>
  <c r="B17" i="2"/>
  <c r="G13" i="2"/>
  <c r="C19" i="1"/>
  <c r="E13" i="1"/>
  <c r="D13" i="1"/>
  <c r="C13" i="1"/>
  <c r="B13" i="1"/>
  <c r="J12" i="1"/>
  <c r="I12" i="1"/>
  <c r="B12" i="1"/>
  <c r="I11" i="1"/>
  <c r="C35" i="2"/>
  <c r="C34" i="2"/>
  <c r="C33" i="2"/>
  <c r="H27" i="2"/>
  <c r="B28" i="2"/>
  <c r="C28" i="2"/>
  <c r="E26" i="2"/>
  <c r="D28" i="2"/>
  <c r="I6" i="5"/>
  <c r="C6" i="5"/>
  <c r="F6" i="5"/>
  <c r="E6" i="5"/>
  <c r="H43" i="2"/>
  <c r="H42" i="2"/>
  <c r="H40" i="2"/>
  <c r="E28" i="2"/>
  <c r="C14" i="1"/>
  <c r="C12" i="1"/>
  <c r="F26" i="2"/>
  <c r="G33" i="2"/>
  <c r="B14" i="1"/>
  <c r="I13" i="1"/>
  <c r="F28" i="2"/>
  <c r="G26" i="2"/>
  <c r="E12" i="1"/>
  <c r="D12" i="1"/>
  <c r="J11" i="1"/>
  <c r="H26" i="2"/>
  <c r="D35" i="2"/>
  <c r="E35" i="2"/>
  <c r="D34" i="2"/>
  <c r="E34" i="2"/>
  <c r="H33" i="2"/>
  <c r="D33" i="2"/>
  <c r="G28" i="2"/>
  <c r="E14" i="1"/>
  <c r="D14" i="1"/>
  <c r="J13" i="1"/>
  <c r="H28" i="2"/>
  <c r="H34" i="2"/>
  <c r="J6" i="1"/>
  <c r="G34" i="2"/>
  <c r="G6" i="1"/>
  <c r="F34" i="2"/>
  <c r="B23" i="1"/>
  <c r="F14" i="1"/>
  <c r="F13" i="1"/>
  <c r="F12" i="1"/>
  <c r="D6" i="1"/>
  <c r="H35" i="2"/>
  <c r="G35" i="2"/>
  <c r="F35" i="2"/>
  <c r="D23" i="1"/>
  <c r="B22" i="1"/>
  <c r="D22" i="1"/>
  <c r="B21" i="1"/>
  <c r="C23" i="1"/>
  <c r="D21" i="1"/>
  <c r="B20" i="1"/>
  <c r="C22" i="1"/>
  <c r="D20" i="1"/>
  <c r="B19" i="1"/>
  <c r="C21" i="1"/>
  <c r="D19" i="1"/>
  <c r="C20" i="1"/>
</calcChain>
</file>

<file path=xl/sharedStrings.xml><?xml version="1.0" encoding="utf-8"?>
<sst xmlns="http://schemas.openxmlformats.org/spreadsheetml/2006/main" count="418" uniqueCount="276">
  <si>
    <t>Estrategia de venta NFC para reseñas de Google</t>
  </si>
  <si>
    <t>Modelo base: Estándar S/50 y Premium S/70. Los resultados cambian al editar la hoja Costos y metas.</t>
  </si>
  <si>
    <t>Meta neta negocio</t>
  </si>
  <si>
    <t>Unidades requeridas</t>
  </si>
  <si>
    <t>Venta mensual estimada</t>
  </si>
  <si>
    <t>Utilidad por socio</t>
  </si>
  <si>
    <t>Economía por producto</t>
  </si>
  <si>
    <t>Producto</t>
  </si>
  <si>
    <t>Precio</t>
  </si>
  <si>
    <t>Margen</t>
  </si>
  <si>
    <t>Costo variable</t>
  </si>
  <si>
    <t>Margen unitario</t>
  </si>
  <si>
    <t>Margen %</t>
  </si>
  <si>
    <t>Unidades meta</t>
  </si>
  <si>
    <t>Estándar</t>
  </si>
  <si>
    <t>Premium</t>
  </si>
  <si>
    <t>Promedio</t>
  </si>
  <si>
    <t>Embudo mensual para llegar a la meta</t>
  </si>
  <si>
    <t>Etapa</t>
  </si>
  <si>
    <t>Cantidad objetivo</t>
  </si>
  <si>
    <t>Conversión / ratio</t>
  </si>
  <si>
    <t>Por día</t>
  </si>
  <si>
    <t>Acción</t>
  </si>
  <si>
    <t>Indicador</t>
  </si>
  <si>
    <t>Prospectos contactados</t>
  </si>
  <si>
    <t>DM, WhatsApp y visitas</t>
  </si>
  <si>
    <t>Contactos</t>
  </si>
  <si>
    <t>Respuestas</t>
  </si>
  <si>
    <t>Responder en menos de 10 min</t>
  </si>
  <si>
    <t>Demostraciones</t>
  </si>
  <si>
    <t>Video o prueba en vivo</t>
  </si>
  <si>
    <t>Demos</t>
  </si>
  <si>
    <t>Negocios compradores</t>
  </si>
  <si>
    <t>Cerrar y cobrar</t>
  </si>
  <si>
    <t>Clientes</t>
  </si>
  <si>
    <t>Unidades vendidas</t>
  </si>
  <si>
    <t>Configurar y entregar</t>
  </si>
  <si>
    <t>Unidades</t>
  </si>
  <si>
    <t>Prioridades de arranque</t>
  </si>
  <si>
    <t>#</t>
  </si>
  <si>
    <t>Área</t>
  </si>
  <si>
    <t>Meta</t>
  </si>
  <si>
    <t>Plazo</t>
  </si>
  <si>
    <t>Estado</t>
  </si>
  <si>
    <t>1</t>
  </si>
  <si>
    <t>Oferta</t>
  </si>
  <si>
    <t>Vender instalación lista, no solo una tarjeta</t>
  </si>
  <si>
    <t>Estándar S/50 | Premium S/70</t>
  </si>
  <si>
    <t>Semana 1</t>
  </si>
  <si>
    <t>Pendiente</t>
  </si>
  <si>
    <t>2</t>
  </si>
  <si>
    <t>Demostración</t>
  </si>
  <si>
    <t>Video de 10–15 segundos mostrando el toque y la reseña</t>
  </si>
  <si>
    <t>1 video vertical + 5 fotos</t>
  </si>
  <si>
    <t>3</t>
  </si>
  <si>
    <t>Prospección</t>
  </si>
  <si>
    <t>Lista inicial de negocios con atención presencial</t>
  </si>
  <si>
    <t>200 prospectos</t>
  </si>
  <si>
    <t>4</t>
  </si>
  <si>
    <t>Validación</t>
  </si>
  <si>
    <t>Cerrar las primeras ventas y registrar objeciones</t>
  </si>
  <si>
    <t>20 unidades</t>
  </si>
  <si>
    <t>Mes 1</t>
  </si>
  <si>
    <t>5</t>
  </si>
  <si>
    <t>Prueba social</t>
  </si>
  <si>
    <t>Grabar instalaciones y solicitar testimonio</t>
  </si>
  <si>
    <t>5 casos reales</t>
  </si>
  <si>
    <t>6</t>
  </si>
  <si>
    <t>Escala</t>
  </si>
  <si>
    <t>Invertir en anuncios solo después de medir conversión</t>
  </si>
  <si>
    <t>Costo por cliente rentable</t>
  </si>
  <si>
    <t>Mes 2</t>
  </si>
  <si>
    <t>Costos, precios y metas</t>
  </si>
  <si>
    <t>Cambia únicamente las celdas amarillas. Las fórmulas recalculan márgenes, inversión y ventas necesarias.</t>
  </si>
  <si>
    <t>Supuestos editables</t>
  </si>
  <si>
    <t>Gastos fijos mensuales</t>
  </si>
  <si>
    <t>Concepto</t>
  </si>
  <si>
    <t>Valor</t>
  </si>
  <si>
    <t>Unidad</t>
  </si>
  <si>
    <t>Nota</t>
  </si>
  <si>
    <t>Monto</t>
  </si>
  <si>
    <t>Costo unitario Estándar</t>
  </si>
  <si>
    <t>S/ por unidad</t>
  </si>
  <si>
    <t>Costo de compra</t>
  </si>
  <si>
    <t>Publicidad</t>
  </si>
  <si>
    <t>Presupuesto de prueba</t>
  </si>
  <si>
    <t>Costo unitario Premium</t>
  </si>
  <si>
    <t>Movilidad para visitas</t>
  </si>
  <si>
    <t>Prospección presencial</t>
  </si>
  <si>
    <t>Empaque por unidad</t>
  </si>
  <si>
    <t>Bolsa/caja/etiqueta</t>
  </si>
  <si>
    <t>Teléfono/datos</t>
  </si>
  <si>
    <t>Parte atribuible al negocio</t>
  </si>
  <si>
    <t>Configuración y prueba</t>
  </si>
  <si>
    <t>Valora tu tiempo</t>
  </si>
  <si>
    <t>Dominio/sistema</t>
  </si>
  <si>
    <t>Equivalente mensual inicial</t>
  </si>
  <si>
    <t>Comisión de cobro</t>
  </si>
  <si>
    <t>% de venta</t>
  </si>
  <si>
    <t>Yape/Plin suele ser 0%</t>
  </si>
  <si>
    <t>Material de muestra</t>
  </si>
  <si>
    <t>Se considera en inversión inicial</t>
  </si>
  <si>
    <t>Delivery asumido por ti</t>
  </si>
  <si>
    <t>Usa 0 si lo paga el cliente</t>
  </si>
  <si>
    <t>Otros</t>
  </si>
  <si>
    <t>Imprevistos</t>
  </si>
  <si>
    <t>Reserva por fallas</t>
  </si>
  <si>
    <t>Cambios o unidades defectuosas</t>
  </si>
  <si>
    <t>Total gastos fijos</t>
  </si>
  <si>
    <t>Precio Estándar</t>
  </si>
  <si>
    <t>Precio público</t>
  </si>
  <si>
    <t>Precio Premium</t>
  </si>
  <si>
    <t>Mezcla Estándar</t>
  </si>
  <si>
    <t>% de unidades</t>
  </si>
  <si>
    <t>Estimación inicial</t>
  </si>
  <si>
    <t>Mezcla Premium</t>
  </si>
  <si>
    <t>Se calcula como 100% - Estándar</t>
  </si>
  <si>
    <t>Días de venta al mes</t>
  </si>
  <si>
    <t>días</t>
  </si>
  <si>
    <t>Lunes a sábado aprox.</t>
  </si>
  <si>
    <t>Número de socios</t>
  </si>
  <si>
    <t>personas</t>
  </si>
  <si>
    <t>Para repartir utilidad</t>
  </si>
  <si>
    <t>Meta utilidad del negocio</t>
  </si>
  <si>
    <t>S/ al mes</t>
  </si>
  <si>
    <t>Después de costos del negocio</t>
  </si>
  <si>
    <t>Meta personal por socio</t>
  </si>
  <si>
    <t>Escenario alternativo</t>
  </si>
  <si>
    <t>Costo compra</t>
  </si>
  <si>
    <t>Otros variables</t>
  </si>
  <si>
    <t>Costo variable total</t>
  </si>
  <si>
    <t>Punto de equilibrio</t>
  </si>
  <si>
    <t>Promedio según mezcla</t>
  </si>
  <si>
    <t>Metas mensuales</t>
  </si>
  <si>
    <t>Escenario</t>
  </si>
  <si>
    <t>Meta neta</t>
  </si>
  <si>
    <t>Gastos fijos</t>
  </si>
  <si>
    <t>Margen promedio</t>
  </si>
  <si>
    <t>Unidades/mes</t>
  </si>
  <si>
    <t>Unidades/día</t>
  </si>
  <si>
    <t>Ventas estimadas</t>
  </si>
  <si>
    <t>Validación inicial</t>
  </si>
  <si>
    <t>S/4,000 para el negocio</t>
  </si>
  <si>
    <t>S/4,000 para cada socio</t>
  </si>
  <si>
    <t>Inversión inicial sugerida</t>
  </si>
  <si>
    <t>Promociones sugeridas</t>
  </si>
  <si>
    <t>Cantidad</t>
  </si>
  <si>
    <t>Costo unitario</t>
  </si>
  <si>
    <t>Total</t>
  </si>
  <si>
    <t>Margen estimado</t>
  </si>
  <si>
    <t>Inventario Estándar</t>
  </si>
  <si>
    <t>1 Estándar</t>
  </si>
  <si>
    <t>Inventario Premium</t>
  </si>
  <si>
    <t>1 Premium</t>
  </si>
  <si>
    <t>Empaques</t>
  </si>
  <si>
    <t>2 Estándar</t>
  </si>
  <si>
    <t>Unidades de muestra</t>
  </si>
  <si>
    <t>1 Estándar + 1 Premium</t>
  </si>
  <si>
    <t>Dominio anual</t>
  </si>
  <si>
    <t>Publicidad de lanzamiento</t>
  </si>
  <si>
    <t>Movilidad de lanzamiento</t>
  </si>
  <si>
    <t>Inversión inicial total</t>
  </si>
  <si>
    <t>Plan de acción de 30 días</t>
  </si>
  <si>
    <t>Objetivo: validar demanda, lograr 20 unidades y construir evidencia real antes de escalar publicidad.</t>
  </si>
  <si>
    <t>Día</t>
  </si>
  <si>
    <t>Semana</t>
  </si>
  <si>
    <t>Acción principal</t>
  </si>
  <si>
    <t>Meta medible</t>
  </si>
  <si>
    <t>Canal</t>
  </si>
  <si>
    <t>Responsable</t>
  </si>
  <si>
    <t>Resultado / aprendizaje</t>
  </si>
  <si>
    <t>Definir oferta, precios y condiciones</t>
  </si>
  <si>
    <t>Oferta final escrita</t>
  </si>
  <si>
    <t>Gestión</t>
  </si>
  <si>
    <t>Kevin / Luis</t>
  </si>
  <si>
    <t>Configurar 2 muestras con negocios de prueba</t>
  </si>
  <si>
    <t>2 muestras funcionando</t>
  </si>
  <si>
    <t>Grabar video demostrativo vertical</t>
  </si>
  <si>
    <t>1 video de 10–15 s</t>
  </si>
  <si>
    <t>Contenido</t>
  </si>
  <si>
    <t>Tomar fotos claras de ambos modelos</t>
  </si>
  <si>
    <t>5 fotos utilizables</t>
  </si>
  <si>
    <t>Crear catálogo de WhatsApp y perfiles</t>
  </si>
  <si>
    <t>Catálogo publicado</t>
  </si>
  <si>
    <t>Digital</t>
  </si>
  <si>
    <t>Preparar guion de venta y respuestas</t>
  </si>
  <si>
    <t>1 guion + 8 objeciones</t>
  </si>
  <si>
    <t>Ventas</t>
  </si>
  <si>
    <t>Construir lista de prospectos</t>
  </si>
  <si>
    <t>50 negocios</t>
  </si>
  <si>
    <t>Contactar negocios por Instagram/WhatsApp</t>
  </si>
  <si>
    <t>15 contactos</t>
  </si>
  <si>
    <t>Mensajes</t>
  </si>
  <si>
    <t>Visitar negocios cercanos con muestra</t>
  </si>
  <si>
    <t>5 visitas</t>
  </si>
  <si>
    <t>Presencial</t>
  </si>
  <si>
    <t>Dar seguimiento a interesados</t>
  </si>
  <si>
    <t>10 seguimientos</t>
  </si>
  <si>
    <t>Contactar nuevos prospectos</t>
  </si>
  <si>
    <t>Visitar segunda zona comercial</t>
  </si>
  <si>
    <t>Publicar demostración y caso de uso</t>
  </si>
  <si>
    <t>1 publicación</t>
  </si>
  <si>
    <t>Revisar conversiones y objeciones</t>
  </si>
  <si>
    <t>Resumen semanal</t>
  </si>
  <si>
    <t>20 contactos</t>
  </si>
  <si>
    <t>Realizar demostraciones</t>
  </si>
  <si>
    <t>3 demostraciones</t>
  </si>
  <si>
    <t>Cerrar e instalar primeras ventas</t>
  </si>
  <si>
    <t>2 ventas</t>
  </si>
  <si>
    <t>Cierre</t>
  </si>
  <si>
    <t>Pedir foto y testimonio</t>
  </si>
  <si>
    <t>1 testimonio</t>
  </si>
  <si>
    <t>Postventa</t>
  </si>
  <si>
    <t>Ofrecer pack a negocios con 2 cajas</t>
  </si>
  <si>
    <t>5 propuestas</t>
  </si>
  <si>
    <t>Visitar negocios referidos</t>
  </si>
  <si>
    <t>Revisar precio y canal ganador</t>
  </si>
  <si>
    <t>Decisión documentada</t>
  </si>
  <si>
    <t>Duplicar prospección en rubro ganador</t>
  </si>
  <si>
    <t>Publicar instalación real</t>
  </si>
  <si>
    <t>1 caso real</t>
  </si>
  <si>
    <t>Solicitar referidos a compradores</t>
  </si>
  <si>
    <t>5 solicitudes</t>
  </si>
  <si>
    <t>Realizar seguimiento de 7 días</t>
  </si>
  <si>
    <t>15 seguimientos</t>
  </si>
  <si>
    <t>Cerrar ventas pendientes</t>
  </si>
  <si>
    <t>3 cierres</t>
  </si>
  <si>
    <t>Calcular costo de conseguir cliente</t>
  </si>
  <si>
    <t>Métrica actualizada</t>
  </si>
  <si>
    <t>Comparar Estándar vs Premium</t>
  </si>
  <si>
    <t>Mezcla real calculada</t>
  </si>
  <si>
    <t>Planificar inventario del mes 2</t>
  </si>
  <si>
    <t>Pedido definido</t>
  </si>
  <si>
    <t>Operación</t>
  </si>
  <si>
    <t>Decidir: ajustar, mantener o escalar</t>
  </si>
  <si>
    <t>Plan del mes 2</t>
  </si>
  <si>
    <t>Seguimiento de prospectos y ventas</t>
  </si>
  <si>
    <t>Registra cada contacto. La conversión solo mejora si anotas el canal, el estado, el próximo paso y el resultado.</t>
  </si>
  <si>
    <t>Fecha</t>
  </si>
  <si>
    <t>Negocio</t>
  </si>
  <si>
    <t>Rubro</t>
  </si>
  <si>
    <t>Distrito</t>
  </si>
  <si>
    <t>Contacto</t>
  </si>
  <si>
    <t>Precio unitario</t>
  </si>
  <si>
    <t>Venta total</t>
  </si>
  <si>
    <t>Costo total</t>
  </si>
  <si>
    <t>Margen bruto</t>
  </si>
  <si>
    <t>Próximo paso</t>
  </si>
  <si>
    <t>Fecha seguimiento</t>
  </si>
  <si>
    <t>Notas</t>
  </si>
  <si>
    <t>Control de ingresos y gastos</t>
  </si>
  <si>
    <t>Registra cada movimiento real del negocio. Los totales, la utilidad, el saldo y la utilidad por socio se calculan automáticamente.</t>
  </si>
  <si>
    <t>Total ingresos</t>
  </si>
  <si>
    <t>Total gastos</t>
  </si>
  <si>
    <t>Utilidad neta</t>
  </si>
  <si>
    <t>Saldo inicial</t>
  </si>
  <si>
    <t>Saldo actual</t>
  </si>
  <si>
    <t>Resumen</t>
  </si>
  <si>
    <t>Ingresos</t>
  </si>
  <si>
    <t>Gastos</t>
  </si>
  <si>
    <t>Tipo</t>
  </si>
  <si>
    <t>Categoría</t>
  </si>
  <si>
    <t>Descripción</t>
  </si>
  <si>
    <t>Método de pago</t>
  </si>
  <si>
    <t>Socio / responsable</t>
  </si>
  <si>
    <t>Mes</t>
  </si>
  <si>
    <t>Impacto en caja</t>
  </si>
  <si>
    <t>Gasto</t>
  </si>
  <si>
    <t>Compra de mercadería</t>
  </si>
  <si>
    <t>Tarjeta Google NFC Cuadrado</t>
  </si>
  <si>
    <t>Tarjeta</t>
  </si>
  <si>
    <t>Luis</t>
  </si>
  <si>
    <t>Tarjeta Google NFC L 2 Cuadrado 2</t>
  </si>
  <si>
    <t>Kevin</t>
  </si>
  <si>
    <t>Tarjeta Google NFC L 15 Cuadrado 15</t>
  </si>
  <si>
    <t>Luis debe debitar 194,47 a finales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</si>
</sst>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S/ &quot;#,##0.00;[Red]\(&quot;S/ &quot;#,##0.00\);\-"/>
    <numFmt numFmtId="165" formatCode="0.0%"/>
    <numFmt numFmtId="166" formatCode="#,##0;[Red]\(#,##0\);\-"/>
    <numFmt numFmtId="167" formatCode="0.0"/>
    <numFmt numFmtId="168" formatCode="0.0\x"/>
    <numFmt numFmtId="169" formatCode="dd/mm/yy"/>
    <numFmt numFmtId="170" formatCode="&quot;S/&quot;\ #,##0.00"/>
  </numFmts>
  <fonts count="11">
    <font>
      <sz val="11"/>
      <name val="Carlito"/>
    </font>
    <font>
      <sz val="10"/>
      <color rgb="FF1F1F1F"/>
      <name val="Arial"/>
    </font>
    <font>
      <b/>
      <sz val="16"/>
      <color rgb="FF17365D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b/>
      <sz val="10"/>
      <color rgb="FF1F1F1F"/>
      <name val="Arial"/>
    </font>
    <font>
      <b/>
      <sz val="14"/>
      <color rgb="FF17365D"/>
      <name val="Arial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  <font>
      <b/>
      <sz val="12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173F5F"/>
      </patternFill>
    </fill>
    <fill>
      <patternFill patternType="solid">
        <fgColor rgb="FFEAF2F8"/>
      </patternFill>
    </fill>
    <fill>
      <patternFill patternType="solid">
        <fgColor rgb="FF1F6E78"/>
      </patternFill>
    </fill>
    <fill>
      <patternFill patternType="solid">
        <fgColor rgb="FFF8FAFC"/>
      </patternFill>
    </fill>
    <fill>
      <patternFill patternType="solid">
        <fgColor rgb="FFFFF2CC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 style="thin">
        <color rgb="FFFFFFFF"/>
      </right>
      <top style="thin">
        <color rgb="FFBFBFBF"/>
      </top>
      <bottom/>
      <diagonal/>
    </border>
    <border>
      <left style="thin">
        <color rgb="FFFFFFFF"/>
      </left>
      <right style="thin">
        <color rgb="FFFFFFFF"/>
      </right>
      <top style="thin">
        <color rgb="FFBFBFBF"/>
      </top>
      <bottom/>
      <diagonal/>
    </border>
    <border>
      <left style="thin">
        <color rgb="FFFFFFF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FFFFFF"/>
      </right>
      <top style="thin">
        <color rgb="FFD9D9D9"/>
      </top>
      <bottom/>
      <diagonal/>
    </border>
    <border>
      <left style="thin">
        <color rgb="FFFFFFFF"/>
      </left>
      <right style="thin">
        <color rgb="FFFFFFFF"/>
      </right>
      <top style="thin">
        <color rgb="FFD9D9D9"/>
      </top>
      <bottom/>
      <diagonal/>
    </border>
    <border>
      <left style="thin">
        <color rgb="FFFFFFFF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2F75B5"/>
      </left>
      <right/>
      <top style="thin">
        <color rgb="FF2F75B5"/>
      </top>
      <bottom/>
      <diagonal/>
    </border>
    <border>
      <left/>
      <right style="thin">
        <color rgb="FF2F75B5"/>
      </right>
      <top style="thin">
        <color rgb="FF2F75B5"/>
      </top>
      <bottom/>
      <diagonal/>
    </border>
    <border>
      <left style="thin">
        <color rgb="FF2F75B5"/>
      </left>
      <right/>
      <top/>
      <bottom style="thin">
        <color rgb="FF2F75B5"/>
      </bottom>
      <diagonal/>
    </border>
    <border>
      <left/>
      <right style="thin">
        <color rgb="FF2F75B5"/>
      </right>
      <top/>
      <bottom style="thin">
        <color rgb="FF2F75B5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1" fillId="4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9" fontId="1" fillId="0" borderId="0" xfId="0" applyNumberFormat="1" applyFont="1" applyAlignment="1">
      <alignment vertical="center"/>
    </xf>
    <xf numFmtId="0" fontId="9" fillId="8" borderId="1" xfId="0" applyFont="1" applyFill="1" applyBorder="1" applyAlignment="1">
      <alignment horizontal="center" vertical="center" wrapText="1"/>
    </xf>
    <xf numFmtId="170" fontId="10" fillId="9" borderId="1" xfId="0" applyNumberFormat="1" applyFont="1" applyFill="1" applyBorder="1" applyAlignment="1">
      <alignment horizontal="center" vertical="center"/>
    </xf>
    <xf numFmtId="170" fontId="10" fillId="10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170" fontId="0" fillId="0" borderId="1" xfId="0" applyNumberFormat="1" applyBorder="1"/>
    <xf numFmtId="0" fontId="9" fillId="6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6" fontId="1" fillId="0" borderId="9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64" fontId="5" fillId="0" borderId="11" xfId="0" applyNumberFormat="1" applyFont="1" applyBorder="1" applyAlignment="1">
      <alignment vertical="center"/>
    </xf>
    <xf numFmtId="165" fontId="5" fillId="0" borderId="11" xfId="0" applyNumberFormat="1" applyFont="1" applyBorder="1" applyAlignment="1">
      <alignment vertical="center"/>
    </xf>
    <xf numFmtId="166" fontId="5" fillId="0" borderId="12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66" fontId="1" fillId="0" borderId="11" xfId="0" applyNumberFormat="1" applyFont="1" applyBorder="1" applyAlignment="1">
      <alignment vertical="center"/>
    </xf>
    <xf numFmtId="168" fontId="1" fillId="0" borderId="11" xfId="0" applyNumberFormat="1" applyFont="1" applyBorder="1" applyAlignment="1">
      <alignment vertical="center"/>
    </xf>
    <xf numFmtId="167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64" fontId="1" fillId="10" borderId="0" xfId="0" applyNumberFormat="1" applyFont="1" applyFill="1" applyAlignment="1">
      <alignment vertical="center"/>
    </xf>
    <xf numFmtId="165" fontId="1" fillId="10" borderId="0" xfId="0" applyNumberFormat="1" applyFont="1" applyFill="1" applyAlignment="1">
      <alignment vertical="center"/>
    </xf>
    <xf numFmtId="166" fontId="1" fillId="10" borderId="0" xfId="0" applyNumberFormat="1" applyFont="1" applyFill="1" applyAlignment="1">
      <alignment vertical="center"/>
    </xf>
    <xf numFmtId="164" fontId="1" fillId="10" borderId="11" xfId="0" applyNumberFormat="1" applyFont="1" applyFill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69" fontId="1" fillId="0" borderId="16" xfId="0" applyNumberFormat="1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9" fontId="1" fillId="0" borderId="18" xfId="0" applyNumberFormat="1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166" fontId="1" fillId="0" borderId="19" xfId="0" applyNumberFormat="1" applyFont="1" applyBorder="1" applyAlignment="1">
      <alignment vertical="center"/>
    </xf>
    <xf numFmtId="164" fontId="1" fillId="0" borderId="19" xfId="0" applyNumberFormat="1" applyFont="1" applyBorder="1" applyAlignment="1">
      <alignment vertical="center"/>
    </xf>
    <xf numFmtId="169" fontId="1" fillId="0" borderId="19" xfId="0" applyNumberFormat="1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0" fontId="0" fillId="11" borderId="1" xfId="0" applyNumberFormat="1" applyFill="1" applyBorder="1"/>
    <xf numFmtId="0" fontId="4" fillId="2" borderId="0" xfId="0" applyFont="1" applyFill="1" applyAlignment="1">
      <alignment horizontal="center" vertical="center"/>
    </xf>
    <xf numFmtId="164" fontId="6" fillId="5" borderId="21" xfId="0" applyNumberFormat="1" applyFont="1" applyFill="1" applyBorder="1" applyAlignment="1">
      <alignment horizontal="center" vertical="center"/>
    </xf>
    <xf numFmtId="164" fontId="6" fillId="5" borderId="22" xfId="0" applyNumberFormat="1" applyFont="1" applyFill="1" applyBorder="1" applyAlignment="1">
      <alignment horizontal="center" vertical="center"/>
    </xf>
    <xf numFmtId="164" fontId="6" fillId="5" borderId="23" xfId="0" applyNumberFormat="1" applyFont="1" applyFill="1" applyBorder="1" applyAlignment="1">
      <alignment horizontal="center" vertical="center"/>
    </xf>
    <xf numFmtId="164" fontId="6" fillId="5" borderId="24" xfId="0" applyNumberFormat="1" applyFont="1" applyFill="1" applyBorder="1" applyAlignment="1">
      <alignment horizontal="center" vertical="center"/>
    </xf>
    <xf numFmtId="166" fontId="6" fillId="5" borderId="21" xfId="0" applyNumberFormat="1" applyFont="1" applyFill="1" applyBorder="1" applyAlignment="1">
      <alignment horizontal="center" vertical="center"/>
    </xf>
    <xf numFmtId="166" fontId="6" fillId="5" borderId="22" xfId="0" applyNumberFormat="1" applyFont="1" applyFill="1" applyBorder="1" applyAlignment="1">
      <alignment horizontal="center" vertical="center"/>
    </xf>
    <xf numFmtId="166" fontId="6" fillId="5" borderId="23" xfId="0" applyNumberFormat="1" applyFont="1" applyFill="1" applyBorder="1" applyAlignment="1">
      <alignment horizontal="center" vertical="center"/>
    </xf>
    <xf numFmtId="166" fontId="6" fillId="5" borderId="24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font>
        <color rgb="FF15803D"/>
      </font>
    </dxf>
    <dxf>
      <font>
        <color rgb="FFB91C1C"/>
      </font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Precio y margen por unidad (S/)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Precio</c:v>
          </c:tx>
          <c:spPr>
            <a:solidFill>
              <a:srgbClr val="2F75B5"/>
            </a:solidFill>
          </c:spPr>
          <c:invertIfNegative val="1"/>
          <c:cat>
            <c:strRef>
              <c:f>Resumen!$H$11:$H$13</c:f>
              <c:strCache>
                <c:ptCount val="3"/>
                <c:pt idx="0">
                  <c:v>Estándar</c:v>
                </c:pt>
                <c:pt idx="1">
                  <c:v>Premium</c:v>
                </c:pt>
                <c:pt idx="2">
                  <c:v>Promedio</c:v>
                </c:pt>
              </c:strCache>
            </c:strRef>
          </c:cat>
          <c:val>
            <c:numRef>
              <c:f>Resumen!$I$11:$I$13</c:f>
              <c:numCache>
                <c:formatCode>General</c:formatCode>
                <c:ptCount val="3"/>
                <c:pt idx="0">
                  <c:v>60</c:v>
                </c:pt>
                <c:pt idx="1">
                  <c:v>80</c:v>
                </c:pt>
                <c:pt idx="2">
                  <c:v>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A8C-44FF-A24D-E7167D730DCC}"/>
            </c:ext>
          </c:extLst>
        </c:ser>
        <c:ser>
          <c:idx val="1"/>
          <c:order val="1"/>
          <c:tx>
            <c:v>Margen</c:v>
          </c:tx>
          <c:spPr>
            <a:solidFill>
              <a:srgbClr val="70AD47"/>
            </a:solidFill>
          </c:spPr>
          <c:invertIfNegative val="1"/>
          <c:cat>
            <c:strRef>
              <c:f>Resumen!$H$11:$H$13</c:f>
              <c:strCache>
                <c:ptCount val="3"/>
                <c:pt idx="0">
                  <c:v>Estándar</c:v>
                </c:pt>
                <c:pt idx="1">
                  <c:v>Premium</c:v>
                </c:pt>
                <c:pt idx="2">
                  <c:v>Promedio</c:v>
                </c:pt>
              </c:strCache>
            </c:strRef>
          </c:cat>
          <c:val>
            <c:numRef>
              <c:f>Resumen!$J$11:$J$13</c:f>
              <c:numCache>
                <c:formatCode>General</c:formatCode>
                <c:ptCount val="3"/>
                <c:pt idx="0">
                  <c:v>47</c:v>
                </c:pt>
                <c:pt idx="1">
                  <c:v>67</c:v>
                </c:pt>
                <c:pt idx="2">
                  <c:v>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8A8C-44FF-A24D-E7167D730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S/ &quot;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Ingresos vs gastos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Monto</c:v>
          </c:tx>
          <c:invertIfNegative val="1"/>
          <c:cat>
            <c:strRef>
              <c:f>'Ingresos y gastos'!$H$6:$H$7</c:f>
              <c:strCache>
                <c:ptCount val="2"/>
                <c:pt idx="0">
                  <c:v>Ingresos</c:v>
                </c:pt>
                <c:pt idx="1">
                  <c:v>Gastos</c:v>
                </c:pt>
              </c:strCache>
            </c:strRef>
          </c:cat>
          <c:val>
            <c:numRef>
              <c:f>'Ingresos y gastos'!$I$6:$I$7</c:f>
              <c:numCache>
                <c:formatCode>"S/"\ #,##0.00</c:formatCode>
                <c:ptCount val="2"/>
                <c:pt idx="0">
                  <c:v>0</c:v>
                </c:pt>
                <c:pt idx="1">
                  <c:v>442.71000000000004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F-47E5-B281-9DB7F78E0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S/&quot;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1</xdr:row>
      <xdr:rowOff>76200</xdr:rowOff>
    </xdr:from>
    <xdr:to>
      <xdr:col>21</xdr:col>
      <xdr:colOff>361950</xdr:colOff>
      <xdr:row>14</xdr:row>
      <xdr:rowOff>76200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vimientosCaja" displayName="MovimientosCaja" ref="A10:J510" totalsRowShown="0">
  <tableColumns count="10">
    <tableColumn id="1" xr3:uid="{00000000-0010-0000-0000-000001000000}" name="Fecha"/>
    <tableColumn id="2" xr3:uid="{00000000-0010-0000-0000-000002000000}" name="Tipo"/>
    <tableColumn id="3" xr3:uid="{00000000-0010-0000-0000-000003000000}" name="Categoría"/>
    <tableColumn id="4" xr3:uid="{00000000-0010-0000-0000-000004000000}" name="Descripción"/>
    <tableColumn id="5" xr3:uid="{00000000-0010-0000-0000-000005000000}" name="Monto"/>
    <tableColumn id="6" xr3:uid="{00000000-0010-0000-0000-000006000000}" name="Método de pago"/>
    <tableColumn id="7" xr3:uid="{00000000-0010-0000-0000-000007000000}" name="Socio / responsable"/>
    <tableColumn id="8" xr3:uid="{00000000-0010-0000-0000-000008000000}" name="Mes"/>
    <tableColumn id="9" xr3:uid="{00000000-0010-0000-0000-000009000000}" name="Impacto en caja"/>
    <tableColumn id="10" xr3:uid="{00000000-0010-0000-0000-00000A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N40"/>
  <sheetViews>
    <sheetView showGridLines="0" workbookViewId="0">
      <selection activeCell="A6" sqref="A6:B7"/>
    </sheetView>
  </sheetViews>
  <sheetFormatPr baseColWidth="10" defaultColWidth="8.75" defaultRowHeight="14.25"/>
  <cols>
    <col min="1" max="1" width="24" customWidth="1"/>
    <col min="2" max="6" width="18" customWidth="1"/>
    <col min="7" max="14" width="13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67" t="s">
        <v>2</v>
      </c>
      <c r="B5" s="67"/>
      <c r="C5" s="1"/>
      <c r="D5" s="67" t="s">
        <v>3</v>
      </c>
      <c r="E5" s="67"/>
      <c r="F5" s="1"/>
      <c r="G5" s="67" t="s">
        <v>4</v>
      </c>
      <c r="H5" s="67"/>
      <c r="I5" s="1"/>
      <c r="J5" s="67" t="s">
        <v>5</v>
      </c>
      <c r="K5" s="67"/>
      <c r="L5" s="1"/>
      <c r="M5" s="1"/>
      <c r="N5" s="1"/>
    </row>
    <row r="6" spans="1:14">
      <c r="A6" s="68">
        <f>'Costos y metas'!B20</f>
        <v>4000</v>
      </c>
      <c r="B6" s="69"/>
      <c r="C6" s="1"/>
      <c r="D6" s="72">
        <f>'Costos y metas'!E34</f>
        <v>75</v>
      </c>
      <c r="E6" s="73"/>
      <c r="F6" s="1"/>
      <c r="G6" s="68">
        <f>'Costos y metas'!G34</f>
        <v>5100</v>
      </c>
      <c r="H6" s="69"/>
      <c r="I6" s="1"/>
      <c r="J6" s="68">
        <f>'Costos y metas'!H34</f>
        <v>2012.5</v>
      </c>
      <c r="K6" s="69"/>
      <c r="L6" s="1"/>
      <c r="M6" s="1"/>
      <c r="N6" s="1"/>
    </row>
    <row r="7" spans="1:14">
      <c r="A7" s="70"/>
      <c r="B7" s="71"/>
      <c r="C7" s="1"/>
      <c r="D7" s="74"/>
      <c r="E7" s="75"/>
      <c r="F7" s="1"/>
      <c r="G7" s="70"/>
      <c r="H7" s="71"/>
      <c r="I7" s="1"/>
      <c r="J7" s="70"/>
      <c r="K7" s="7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8" t="s">
        <v>6</v>
      </c>
      <c r="B10" s="19"/>
      <c r="C10" s="19"/>
      <c r="D10" s="19"/>
      <c r="E10" s="19"/>
      <c r="F10" s="20"/>
      <c r="G10" s="1"/>
      <c r="H10" s="1" t="s">
        <v>7</v>
      </c>
      <c r="I10" s="1" t="s">
        <v>8</v>
      </c>
      <c r="J10" s="1" t="s">
        <v>9</v>
      </c>
      <c r="K10" s="1"/>
      <c r="L10" s="1"/>
      <c r="M10" s="1"/>
      <c r="N10" s="1"/>
    </row>
    <row r="11" spans="1:14">
      <c r="A11" s="21" t="s">
        <v>7</v>
      </c>
      <c r="B11" s="22" t="s">
        <v>8</v>
      </c>
      <c r="C11" s="22" t="s">
        <v>10</v>
      </c>
      <c r="D11" s="22" t="s">
        <v>11</v>
      </c>
      <c r="E11" s="22" t="s">
        <v>12</v>
      </c>
      <c r="F11" s="23" t="s">
        <v>13</v>
      </c>
      <c r="G11" s="1"/>
      <c r="H11" s="1" t="s">
        <v>14</v>
      </c>
      <c r="I11" s="1">
        <f>B12</f>
        <v>60</v>
      </c>
      <c r="J11" s="1">
        <f>D12</f>
        <v>47</v>
      </c>
      <c r="K11" s="1"/>
      <c r="L11" s="1"/>
      <c r="M11" s="1"/>
      <c r="N11" s="1"/>
    </row>
    <row r="12" spans="1:14">
      <c r="A12" s="24" t="s">
        <v>14</v>
      </c>
      <c r="B12" s="5">
        <f>'Costos y metas'!B26</f>
        <v>60</v>
      </c>
      <c r="C12" s="5">
        <f>'Costos y metas'!E26</f>
        <v>13</v>
      </c>
      <c r="D12" s="5">
        <f>'Costos y metas'!F26</f>
        <v>47</v>
      </c>
      <c r="E12" s="6">
        <f>'Costos y metas'!G26</f>
        <v>0.78333333333333333</v>
      </c>
      <c r="F12" s="25">
        <f>'Costos y metas'!E34*'Costos y metas'!B16</f>
        <v>45</v>
      </c>
      <c r="G12" s="1"/>
      <c r="H12" s="1" t="s">
        <v>15</v>
      </c>
      <c r="I12" s="1">
        <f>B13</f>
        <v>80</v>
      </c>
      <c r="J12" s="1">
        <f>D13</f>
        <v>67</v>
      </c>
      <c r="K12" s="1"/>
      <c r="L12" s="1"/>
      <c r="M12" s="1"/>
      <c r="N12" s="1"/>
    </row>
    <row r="13" spans="1:14">
      <c r="A13" s="24" t="s">
        <v>15</v>
      </c>
      <c r="B13" s="5">
        <f>'Costos y metas'!B27</f>
        <v>80</v>
      </c>
      <c r="C13" s="5">
        <f>'Costos y metas'!E27</f>
        <v>13</v>
      </c>
      <c r="D13" s="5">
        <f>'Costos y metas'!F27</f>
        <v>67</v>
      </c>
      <c r="E13" s="6">
        <f>'Costos y metas'!G27</f>
        <v>0.83750000000000002</v>
      </c>
      <c r="F13" s="25">
        <f>'Costos y metas'!E34*'Costos y metas'!B17</f>
        <v>30</v>
      </c>
      <c r="G13" s="1"/>
      <c r="H13" s="1" t="s">
        <v>16</v>
      </c>
      <c r="I13" s="1">
        <f>B14</f>
        <v>68</v>
      </c>
      <c r="J13" s="1">
        <f>D14</f>
        <v>55</v>
      </c>
      <c r="K13" s="1"/>
      <c r="L13" s="1"/>
      <c r="M13" s="1"/>
      <c r="N13" s="1"/>
    </row>
    <row r="14" spans="1:14">
      <c r="A14" s="26" t="s">
        <v>16</v>
      </c>
      <c r="B14" s="27">
        <f>'Costos y metas'!B28</f>
        <v>68</v>
      </c>
      <c r="C14" s="27">
        <f>'Costos y metas'!E28</f>
        <v>13</v>
      </c>
      <c r="D14" s="27">
        <f>'Costos y metas'!F28</f>
        <v>55</v>
      </c>
      <c r="E14" s="28">
        <f>'Costos y metas'!G28</f>
        <v>0.80882352941176472</v>
      </c>
      <c r="F14" s="29">
        <f>'Costos y metas'!E34</f>
        <v>75</v>
      </c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8" t="s">
        <v>17</v>
      </c>
      <c r="B17" s="19"/>
      <c r="C17" s="19"/>
      <c r="D17" s="19"/>
      <c r="E17" s="19"/>
      <c r="F17" s="20"/>
      <c r="G17" s="1"/>
      <c r="H17" s="1"/>
      <c r="I17" s="1"/>
      <c r="J17" s="1"/>
      <c r="K17" s="1"/>
      <c r="L17" s="1"/>
      <c r="M17" s="1"/>
      <c r="N17" s="1"/>
    </row>
    <row r="18" spans="1:14">
      <c r="A18" s="21" t="s">
        <v>18</v>
      </c>
      <c r="B18" s="22" t="s">
        <v>19</v>
      </c>
      <c r="C18" s="22" t="s">
        <v>20</v>
      </c>
      <c r="D18" s="22" t="s">
        <v>21</v>
      </c>
      <c r="E18" s="22" t="s">
        <v>22</v>
      </c>
      <c r="F18" s="23" t="s">
        <v>23</v>
      </c>
      <c r="G18" s="1"/>
      <c r="H18" s="1"/>
      <c r="I18" s="1"/>
      <c r="J18" s="1"/>
      <c r="K18" s="1"/>
      <c r="L18" s="1"/>
      <c r="M18" s="1"/>
      <c r="N18" s="1"/>
    </row>
    <row r="19" spans="1:14">
      <c r="A19" s="24" t="s">
        <v>24</v>
      </c>
      <c r="B19" s="7">
        <f>CEILING(B20/0.35,1)</f>
        <v>595</v>
      </c>
      <c r="C19" s="1" t="str">
        <f>""</f>
        <v/>
      </c>
      <c r="D19" s="8">
        <f>B19/'Costos y metas'!B18</f>
        <v>24.791666666666668</v>
      </c>
      <c r="E19" s="1" t="s">
        <v>25</v>
      </c>
      <c r="F19" s="30" t="s">
        <v>26</v>
      </c>
      <c r="G19" s="1"/>
      <c r="H19" s="1"/>
      <c r="I19" s="1"/>
      <c r="J19" s="1"/>
      <c r="K19" s="1"/>
      <c r="L19" s="1"/>
      <c r="M19" s="1"/>
      <c r="N19" s="1"/>
    </row>
    <row r="20" spans="1:14">
      <c r="A20" s="24" t="s">
        <v>27</v>
      </c>
      <c r="B20" s="7">
        <f>CEILING(B21/0.7,1)</f>
        <v>208</v>
      </c>
      <c r="C20" s="6">
        <f>B20/B19</f>
        <v>0.34957983193277309</v>
      </c>
      <c r="D20" s="8">
        <f>B20/'Costos y metas'!B18</f>
        <v>8.6666666666666661</v>
      </c>
      <c r="E20" s="1" t="s">
        <v>28</v>
      </c>
      <c r="F20" s="30" t="s">
        <v>27</v>
      </c>
      <c r="G20" s="1"/>
      <c r="H20" s="1"/>
      <c r="I20" s="1"/>
      <c r="J20" s="1"/>
      <c r="K20" s="1"/>
      <c r="L20" s="1"/>
      <c r="M20" s="1"/>
      <c r="N20" s="1"/>
    </row>
    <row r="21" spans="1:14">
      <c r="A21" s="24" t="s">
        <v>29</v>
      </c>
      <c r="B21" s="7">
        <f>CEILING(B22/0.4,1)</f>
        <v>145</v>
      </c>
      <c r="C21" s="6">
        <f>B21/B20</f>
        <v>0.69711538461538458</v>
      </c>
      <c r="D21" s="8">
        <f>B21/'Costos y metas'!B18</f>
        <v>6.041666666666667</v>
      </c>
      <c r="E21" s="1" t="s">
        <v>30</v>
      </c>
      <c r="F21" s="30" t="s">
        <v>31</v>
      </c>
      <c r="G21" s="1"/>
      <c r="H21" s="1"/>
      <c r="I21" s="1"/>
      <c r="J21" s="1"/>
      <c r="K21" s="1"/>
      <c r="L21" s="1"/>
      <c r="M21" s="1"/>
      <c r="N21" s="1"/>
    </row>
    <row r="22" spans="1:14">
      <c r="A22" s="24" t="s">
        <v>32</v>
      </c>
      <c r="B22" s="7">
        <f>CEILING(B23/1.3,1)</f>
        <v>58</v>
      </c>
      <c r="C22" s="6">
        <f>B22/B21</f>
        <v>0.4</v>
      </c>
      <c r="D22" s="8">
        <f>B22/'Costos y metas'!B18</f>
        <v>2.4166666666666665</v>
      </c>
      <c r="E22" s="1" t="s">
        <v>33</v>
      </c>
      <c r="F22" s="30" t="s">
        <v>34</v>
      </c>
      <c r="G22" s="1"/>
      <c r="H22" s="1"/>
      <c r="I22" s="1"/>
      <c r="J22" s="1"/>
      <c r="K22" s="1"/>
      <c r="L22" s="1"/>
      <c r="M22" s="1"/>
      <c r="N22" s="1"/>
    </row>
    <row r="23" spans="1:14">
      <c r="A23" s="31" t="s">
        <v>35</v>
      </c>
      <c r="B23" s="32">
        <f>'Costos y metas'!E34</f>
        <v>75</v>
      </c>
      <c r="C23" s="33">
        <f>B23/B22</f>
        <v>1.2931034482758621</v>
      </c>
      <c r="D23" s="34">
        <f>B23/'Costos y metas'!B18</f>
        <v>3.125</v>
      </c>
      <c r="E23" s="35" t="s">
        <v>36</v>
      </c>
      <c r="F23" s="36" t="s">
        <v>37</v>
      </c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8" t="s">
        <v>38</v>
      </c>
      <c r="B26" s="19"/>
      <c r="C26" s="19"/>
      <c r="D26" s="19"/>
      <c r="E26" s="19"/>
      <c r="F26" s="20"/>
      <c r="G26" s="1"/>
      <c r="H26" s="1"/>
      <c r="I26" s="1"/>
      <c r="J26" s="1"/>
      <c r="K26" s="1"/>
      <c r="L26" s="1"/>
      <c r="M26" s="1"/>
      <c r="N26" s="1"/>
    </row>
    <row r="27" spans="1:14">
      <c r="A27" s="21" t="s">
        <v>39</v>
      </c>
      <c r="B27" s="22" t="s">
        <v>40</v>
      </c>
      <c r="C27" s="22" t="s">
        <v>22</v>
      </c>
      <c r="D27" s="22" t="s">
        <v>41</v>
      </c>
      <c r="E27" s="22" t="s">
        <v>42</v>
      </c>
      <c r="F27" s="23" t="s">
        <v>43</v>
      </c>
      <c r="G27" s="1"/>
      <c r="H27" s="1"/>
      <c r="I27" s="1"/>
      <c r="J27" s="1"/>
      <c r="K27" s="1"/>
      <c r="L27" s="1"/>
      <c r="M27" s="1"/>
      <c r="N27" s="1"/>
    </row>
    <row r="28" spans="1:14" ht="37.9" customHeight="1">
      <c r="A28" s="37" t="s">
        <v>44</v>
      </c>
      <c r="B28" s="9" t="s">
        <v>45</v>
      </c>
      <c r="C28" s="9" t="s">
        <v>46</v>
      </c>
      <c r="D28" s="9" t="s">
        <v>47</v>
      </c>
      <c r="E28" s="9" t="s">
        <v>48</v>
      </c>
      <c r="F28" s="38" t="s">
        <v>49</v>
      </c>
      <c r="G28" s="1"/>
      <c r="H28" s="1"/>
      <c r="I28" s="1"/>
      <c r="J28" s="1"/>
      <c r="K28" s="1"/>
      <c r="L28" s="1"/>
      <c r="M28" s="1"/>
      <c r="N28" s="1"/>
    </row>
    <row r="29" spans="1:14" ht="37.9" customHeight="1">
      <c r="A29" s="37" t="s">
        <v>50</v>
      </c>
      <c r="B29" s="9" t="s">
        <v>51</v>
      </c>
      <c r="C29" s="9" t="s">
        <v>52</v>
      </c>
      <c r="D29" s="9" t="s">
        <v>53</v>
      </c>
      <c r="E29" s="9" t="s">
        <v>48</v>
      </c>
      <c r="F29" s="38" t="s">
        <v>49</v>
      </c>
      <c r="G29" s="1"/>
      <c r="H29" s="1"/>
      <c r="I29" s="1"/>
      <c r="J29" s="1"/>
      <c r="K29" s="1"/>
      <c r="L29" s="1"/>
      <c r="M29" s="1"/>
      <c r="N29" s="1"/>
    </row>
    <row r="30" spans="1:14" ht="37.9" customHeight="1">
      <c r="A30" s="37" t="s">
        <v>54</v>
      </c>
      <c r="B30" s="9" t="s">
        <v>55</v>
      </c>
      <c r="C30" s="9" t="s">
        <v>56</v>
      </c>
      <c r="D30" s="9" t="s">
        <v>57</v>
      </c>
      <c r="E30" s="9" t="s">
        <v>48</v>
      </c>
      <c r="F30" s="38" t="s">
        <v>49</v>
      </c>
      <c r="G30" s="1"/>
      <c r="H30" s="1"/>
      <c r="I30" s="1"/>
      <c r="J30" s="1"/>
      <c r="K30" s="1"/>
      <c r="L30" s="1"/>
      <c r="M30" s="1"/>
      <c r="N30" s="1"/>
    </row>
    <row r="31" spans="1:14" ht="37.9" customHeight="1">
      <c r="A31" s="37" t="s">
        <v>58</v>
      </c>
      <c r="B31" s="9" t="s">
        <v>59</v>
      </c>
      <c r="C31" s="9" t="s">
        <v>60</v>
      </c>
      <c r="D31" s="9" t="s">
        <v>61</v>
      </c>
      <c r="E31" s="9" t="s">
        <v>62</v>
      </c>
      <c r="F31" s="38" t="s">
        <v>49</v>
      </c>
      <c r="G31" s="1"/>
      <c r="H31" s="1"/>
      <c r="I31" s="1"/>
      <c r="J31" s="1"/>
      <c r="K31" s="1"/>
      <c r="L31" s="1"/>
      <c r="M31" s="1"/>
      <c r="N31" s="1"/>
    </row>
    <row r="32" spans="1:14" ht="37.9" customHeight="1">
      <c r="A32" s="37" t="s">
        <v>63</v>
      </c>
      <c r="B32" s="9" t="s">
        <v>64</v>
      </c>
      <c r="C32" s="9" t="s">
        <v>65</v>
      </c>
      <c r="D32" s="9" t="s">
        <v>66</v>
      </c>
      <c r="E32" s="9" t="s">
        <v>62</v>
      </c>
      <c r="F32" s="38" t="s">
        <v>49</v>
      </c>
      <c r="G32" s="1"/>
      <c r="H32" s="1"/>
      <c r="I32" s="1"/>
      <c r="J32" s="1"/>
      <c r="K32" s="1"/>
      <c r="L32" s="1"/>
      <c r="M32" s="1"/>
      <c r="N32" s="1"/>
    </row>
    <row r="33" spans="1:14" ht="37.9" customHeight="1">
      <c r="A33" s="39" t="s">
        <v>67</v>
      </c>
      <c r="B33" s="40" t="s">
        <v>68</v>
      </c>
      <c r="C33" s="40" t="s">
        <v>69</v>
      </c>
      <c r="D33" s="40" t="s">
        <v>70</v>
      </c>
      <c r="E33" s="40" t="s">
        <v>71</v>
      </c>
      <c r="F33" s="41" t="s">
        <v>49</v>
      </c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</sheetData>
  <mergeCells count="8">
    <mergeCell ref="J5:K5"/>
    <mergeCell ref="J6:K7"/>
    <mergeCell ref="A5:B5"/>
    <mergeCell ref="A6:B7"/>
    <mergeCell ref="D5:E5"/>
    <mergeCell ref="D6:E7"/>
    <mergeCell ref="G5:H5"/>
    <mergeCell ref="G6:H7"/>
  </mergeCells>
  <conditionalFormatting sqref="F28:F33">
    <cfRule type="containsText" dxfId="9" priority="1" operator="containsText" text="Hecho"/>
    <cfRule type="containsText" dxfId="8" priority="2" operator="containsText" text="Pendiente"/>
  </conditionalFormatting>
  <dataValidations count="1">
    <dataValidation type="list" sqref="F28:F33" xr:uid="{00000000-0002-0000-0000-000000000000}">
      <formula1>"Pendiente,En curso,Hecho"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H60"/>
  <sheetViews>
    <sheetView showGridLines="0" workbookViewId="0"/>
  </sheetViews>
  <sheetFormatPr baseColWidth="10" defaultColWidth="8.75" defaultRowHeight="14.25"/>
  <cols>
    <col min="1" max="1" width="29" customWidth="1"/>
    <col min="2" max="3" width="21" customWidth="1"/>
    <col min="4" max="4" width="31" customWidth="1"/>
    <col min="5" max="5" width="15" customWidth="1"/>
    <col min="6" max="7" width="22" customWidth="1"/>
    <col min="8" max="8" width="24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0.25">
      <c r="A2" s="2" t="s">
        <v>72</v>
      </c>
      <c r="B2" s="1"/>
      <c r="C2" s="1"/>
      <c r="D2" s="1"/>
      <c r="E2" s="1"/>
      <c r="F2" s="1"/>
      <c r="G2" s="1"/>
      <c r="H2" s="1"/>
    </row>
    <row r="3" spans="1:8">
      <c r="A3" s="3" t="s">
        <v>73</v>
      </c>
      <c r="B3" s="3"/>
      <c r="C3" s="3"/>
      <c r="D3" s="3"/>
      <c r="E3" s="3"/>
      <c r="F3" s="3"/>
      <c r="G3" s="3"/>
      <c r="H3" s="3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18" t="s">
        <v>74</v>
      </c>
      <c r="B5" s="19"/>
      <c r="C5" s="19"/>
      <c r="D5" s="20"/>
      <c r="E5" s="1"/>
      <c r="F5" s="18" t="s">
        <v>75</v>
      </c>
      <c r="G5" s="19"/>
      <c r="H5" s="20"/>
    </row>
    <row r="6" spans="1:8">
      <c r="A6" s="21" t="s">
        <v>76</v>
      </c>
      <c r="B6" s="22" t="s">
        <v>77</v>
      </c>
      <c r="C6" s="22" t="s">
        <v>78</v>
      </c>
      <c r="D6" s="23" t="s">
        <v>79</v>
      </c>
      <c r="E6" s="1"/>
      <c r="F6" s="21" t="s">
        <v>76</v>
      </c>
      <c r="G6" s="22" t="s">
        <v>80</v>
      </c>
      <c r="H6" s="23" t="s">
        <v>79</v>
      </c>
    </row>
    <row r="7" spans="1:8">
      <c r="A7" s="24" t="s">
        <v>81</v>
      </c>
      <c r="B7" s="42">
        <v>13</v>
      </c>
      <c r="C7" s="1" t="s">
        <v>82</v>
      </c>
      <c r="D7" s="30" t="s">
        <v>83</v>
      </c>
      <c r="E7" s="1"/>
      <c r="F7" s="24" t="s">
        <v>84</v>
      </c>
      <c r="G7" s="42"/>
      <c r="H7" s="30" t="s">
        <v>85</v>
      </c>
    </row>
    <row r="8" spans="1:8">
      <c r="A8" s="24" t="s">
        <v>86</v>
      </c>
      <c r="B8" s="42">
        <v>13</v>
      </c>
      <c r="C8" s="1" t="s">
        <v>82</v>
      </c>
      <c r="D8" s="30" t="s">
        <v>83</v>
      </c>
      <c r="E8" s="1"/>
      <c r="F8" s="24" t="s">
        <v>87</v>
      </c>
      <c r="H8" s="30" t="s">
        <v>88</v>
      </c>
    </row>
    <row r="9" spans="1:8">
      <c r="A9" s="24" t="s">
        <v>89</v>
      </c>
      <c r="B9" s="42"/>
      <c r="C9" s="1" t="s">
        <v>82</v>
      </c>
      <c r="D9" s="30" t="s">
        <v>90</v>
      </c>
      <c r="E9" s="1"/>
      <c r="F9" s="24" t="s">
        <v>91</v>
      </c>
      <c r="G9" s="42">
        <v>100</v>
      </c>
      <c r="H9" s="30" t="s">
        <v>92</v>
      </c>
    </row>
    <row r="10" spans="1:8">
      <c r="A10" s="24" t="s">
        <v>93</v>
      </c>
      <c r="B10" s="42"/>
      <c r="C10" s="1" t="s">
        <v>82</v>
      </c>
      <c r="D10" s="30" t="s">
        <v>94</v>
      </c>
      <c r="E10" s="1"/>
      <c r="F10" s="24" t="s">
        <v>95</v>
      </c>
      <c r="G10" s="42"/>
      <c r="H10" s="30" t="s">
        <v>96</v>
      </c>
    </row>
    <row r="11" spans="1:8">
      <c r="A11" s="24" t="s">
        <v>97</v>
      </c>
      <c r="B11" s="42">
        <v>0</v>
      </c>
      <c r="C11" s="1" t="s">
        <v>98</v>
      </c>
      <c r="D11" s="30" t="s">
        <v>99</v>
      </c>
      <c r="E11" s="1"/>
      <c r="F11" s="24" t="s">
        <v>100</v>
      </c>
      <c r="G11" s="42">
        <v>0</v>
      </c>
      <c r="H11" s="30" t="s">
        <v>101</v>
      </c>
    </row>
    <row r="12" spans="1:8">
      <c r="A12" s="24" t="s">
        <v>102</v>
      </c>
      <c r="B12" s="42">
        <v>0</v>
      </c>
      <c r="C12" s="1" t="s">
        <v>82</v>
      </c>
      <c r="D12" s="30" t="s">
        <v>103</v>
      </c>
      <c r="E12" s="1"/>
      <c r="F12" s="24" t="s">
        <v>104</v>
      </c>
      <c r="G12" s="42"/>
      <c r="H12" s="30" t="s">
        <v>105</v>
      </c>
    </row>
    <row r="13" spans="1:8">
      <c r="A13" s="24" t="s">
        <v>106</v>
      </c>
      <c r="B13" s="42"/>
      <c r="C13" s="1" t="s">
        <v>82</v>
      </c>
      <c r="D13" s="30" t="s">
        <v>107</v>
      </c>
      <c r="E13" s="1"/>
      <c r="F13" s="26" t="s">
        <v>108</v>
      </c>
      <c r="G13" s="27">
        <f>SUM(G7:G12)</f>
        <v>100</v>
      </c>
      <c r="H13" s="36"/>
    </row>
    <row r="14" spans="1:8">
      <c r="A14" s="24" t="s">
        <v>109</v>
      </c>
      <c r="B14" s="42">
        <v>60</v>
      </c>
      <c r="C14" s="1" t="s">
        <v>82</v>
      </c>
      <c r="D14" s="30" t="s">
        <v>110</v>
      </c>
      <c r="E14" s="1"/>
      <c r="F14" s="1"/>
      <c r="G14" s="1"/>
      <c r="H14" s="1"/>
    </row>
    <row r="15" spans="1:8">
      <c r="A15" s="24" t="s">
        <v>111</v>
      </c>
      <c r="B15" s="42">
        <v>80</v>
      </c>
      <c r="C15" s="1" t="s">
        <v>82</v>
      </c>
      <c r="D15" s="30" t="s">
        <v>110</v>
      </c>
      <c r="E15" s="1"/>
      <c r="F15" s="1"/>
      <c r="G15" s="1"/>
      <c r="H15" s="1"/>
    </row>
    <row r="16" spans="1:8">
      <c r="A16" s="24" t="s">
        <v>112</v>
      </c>
      <c r="B16" s="43">
        <v>0.6</v>
      </c>
      <c r="C16" s="1" t="s">
        <v>113</v>
      </c>
      <c r="D16" s="30" t="s">
        <v>114</v>
      </c>
      <c r="E16" s="1"/>
      <c r="F16" s="1"/>
      <c r="G16" s="1"/>
      <c r="H16" s="1"/>
    </row>
    <row r="17" spans="1:8">
      <c r="A17" s="24" t="s">
        <v>115</v>
      </c>
      <c r="B17" s="4">
        <f>1-B16</f>
        <v>0.4</v>
      </c>
      <c r="C17" s="1" t="s">
        <v>113</v>
      </c>
      <c r="D17" s="30" t="s">
        <v>116</v>
      </c>
      <c r="E17" s="1"/>
      <c r="F17" s="1"/>
      <c r="G17" s="1"/>
      <c r="H17" s="1"/>
    </row>
    <row r="18" spans="1:8">
      <c r="A18" s="24" t="s">
        <v>117</v>
      </c>
      <c r="B18" s="44">
        <v>24</v>
      </c>
      <c r="C18" s="1" t="s">
        <v>118</v>
      </c>
      <c r="D18" s="30" t="s">
        <v>119</v>
      </c>
      <c r="E18" s="1"/>
      <c r="F18" s="1"/>
      <c r="G18" s="1"/>
      <c r="H18" s="1"/>
    </row>
    <row r="19" spans="1:8">
      <c r="A19" s="24" t="s">
        <v>120</v>
      </c>
      <c r="B19" s="44">
        <v>2</v>
      </c>
      <c r="C19" s="1" t="s">
        <v>121</v>
      </c>
      <c r="D19" s="30" t="s">
        <v>122</v>
      </c>
      <c r="E19" s="1"/>
      <c r="F19" s="1"/>
      <c r="G19" s="1"/>
      <c r="H19" s="1"/>
    </row>
    <row r="20" spans="1:8">
      <c r="A20" s="24" t="s">
        <v>123</v>
      </c>
      <c r="B20" s="42">
        <v>4000</v>
      </c>
      <c r="C20" s="1" t="s">
        <v>124</v>
      </c>
      <c r="D20" s="30" t="s">
        <v>125</v>
      </c>
      <c r="E20" s="1"/>
      <c r="F20" s="1"/>
      <c r="G20" s="1"/>
      <c r="H20" s="1"/>
    </row>
    <row r="21" spans="1:8">
      <c r="A21" s="31" t="s">
        <v>126</v>
      </c>
      <c r="B21" s="45">
        <v>4000</v>
      </c>
      <c r="C21" s="35" t="s">
        <v>124</v>
      </c>
      <c r="D21" s="36" t="s">
        <v>127</v>
      </c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8" t="s">
        <v>6</v>
      </c>
      <c r="B24" s="19"/>
      <c r="C24" s="19"/>
      <c r="D24" s="19"/>
      <c r="E24" s="19"/>
      <c r="F24" s="19"/>
      <c r="G24" s="19"/>
      <c r="H24" s="20"/>
    </row>
    <row r="25" spans="1:8">
      <c r="A25" s="21" t="s">
        <v>7</v>
      </c>
      <c r="B25" s="22" t="s">
        <v>8</v>
      </c>
      <c r="C25" s="22" t="s">
        <v>128</v>
      </c>
      <c r="D25" s="22" t="s">
        <v>129</v>
      </c>
      <c r="E25" s="22" t="s">
        <v>130</v>
      </c>
      <c r="F25" s="22" t="s">
        <v>11</v>
      </c>
      <c r="G25" s="22" t="s">
        <v>12</v>
      </c>
      <c r="H25" s="23" t="s">
        <v>131</v>
      </c>
    </row>
    <row r="26" spans="1:8">
      <c r="A26" s="24" t="s">
        <v>14</v>
      </c>
      <c r="B26" s="5">
        <f>B14</f>
        <v>60</v>
      </c>
      <c r="C26" s="5">
        <f>B7</f>
        <v>13</v>
      </c>
      <c r="D26" s="5">
        <f>B9+B10+B12+B13+B14*B11</f>
        <v>0</v>
      </c>
      <c r="E26" s="5">
        <f>C26+D26</f>
        <v>13</v>
      </c>
      <c r="F26" s="5">
        <f>B26-E26</f>
        <v>47</v>
      </c>
      <c r="G26" s="6">
        <f>F26/B26</f>
        <v>0.78333333333333333</v>
      </c>
      <c r="H26" s="25">
        <f>CEILING($G$13/F26,1)</f>
        <v>3</v>
      </c>
    </row>
    <row r="27" spans="1:8">
      <c r="A27" s="24" t="s">
        <v>15</v>
      </c>
      <c r="B27" s="5">
        <f>B15</f>
        <v>80</v>
      </c>
      <c r="C27" s="5">
        <f>B8</f>
        <v>13</v>
      </c>
      <c r="D27" s="5">
        <f>B9+B10+B12+B13+B15*B11</f>
        <v>0</v>
      </c>
      <c r="E27" s="5">
        <f>C27+D27</f>
        <v>13</v>
      </c>
      <c r="F27" s="5">
        <f>B27-E27</f>
        <v>67</v>
      </c>
      <c r="G27" s="6">
        <f>F27/B27</f>
        <v>0.83750000000000002</v>
      </c>
      <c r="H27" s="25">
        <f>CEILING($G$13/F27,1)</f>
        <v>2</v>
      </c>
    </row>
    <row r="28" spans="1:8">
      <c r="A28" s="26" t="s">
        <v>132</v>
      </c>
      <c r="B28" s="27">
        <f>B26*$B$16+B27*$B$17</f>
        <v>68</v>
      </c>
      <c r="C28" s="27">
        <f>C26*$B$16+C27*$B$17</f>
        <v>13</v>
      </c>
      <c r="D28" s="27">
        <f>D26*$B$16+D27*$B$17</f>
        <v>0</v>
      </c>
      <c r="E28" s="27">
        <f>E26*$B$16+E27*$B$17</f>
        <v>13</v>
      </c>
      <c r="F28" s="27">
        <f>F26*$B$16+F27*$B$17</f>
        <v>55</v>
      </c>
      <c r="G28" s="28">
        <f>F28/B28</f>
        <v>0.80882352941176472</v>
      </c>
      <c r="H28" s="29">
        <f>CEILING($G$13/F28,1)</f>
        <v>2</v>
      </c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8" t="s">
        <v>133</v>
      </c>
      <c r="B31" s="19"/>
      <c r="C31" s="19"/>
      <c r="D31" s="19"/>
      <c r="E31" s="19"/>
      <c r="F31" s="19"/>
      <c r="G31" s="19"/>
      <c r="H31" s="20"/>
    </row>
    <row r="32" spans="1:8">
      <c r="A32" s="21" t="s">
        <v>134</v>
      </c>
      <c r="B32" s="22" t="s">
        <v>135</v>
      </c>
      <c r="C32" s="22" t="s">
        <v>136</v>
      </c>
      <c r="D32" s="22" t="s">
        <v>137</v>
      </c>
      <c r="E32" s="22" t="s">
        <v>138</v>
      </c>
      <c r="F32" s="22" t="s">
        <v>139</v>
      </c>
      <c r="G32" s="22" t="s">
        <v>140</v>
      </c>
      <c r="H32" s="23" t="s">
        <v>5</v>
      </c>
    </row>
    <row r="33" spans="1:8">
      <c r="A33" s="24" t="s">
        <v>141</v>
      </c>
      <c r="B33" s="5">
        <f>0</f>
        <v>0</v>
      </c>
      <c r="C33" s="5">
        <f>$G$13</f>
        <v>100</v>
      </c>
      <c r="D33" s="5">
        <f>$F$28</f>
        <v>55</v>
      </c>
      <c r="E33" s="44">
        <v>20</v>
      </c>
      <c r="F33" s="8">
        <f>E33/$B$18</f>
        <v>0.83333333333333337</v>
      </c>
      <c r="G33" s="5">
        <f>E33*$B$28</f>
        <v>1360</v>
      </c>
      <c r="H33" s="46">
        <f>(E33*$F$28-C33)/$B$19</f>
        <v>500</v>
      </c>
    </row>
    <row r="34" spans="1:8">
      <c r="A34" s="24" t="s">
        <v>142</v>
      </c>
      <c r="B34" s="5">
        <f>B20</f>
        <v>4000</v>
      </c>
      <c r="C34" s="5">
        <f>$G$13</f>
        <v>100</v>
      </c>
      <c r="D34" s="5">
        <f>$F$28</f>
        <v>55</v>
      </c>
      <c r="E34" s="7">
        <f>CEILING((B34+C34)/D34,1)</f>
        <v>75</v>
      </c>
      <c r="F34" s="8">
        <f>E34/$B$18</f>
        <v>3.125</v>
      </c>
      <c r="G34" s="5">
        <f>E34*$B$28</f>
        <v>5100</v>
      </c>
      <c r="H34" s="46">
        <f>(E34*$F$28-C34)/$B$19</f>
        <v>2012.5</v>
      </c>
    </row>
    <row r="35" spans="1:8">
      <c r="A35" s="31" t="s">
        <v>143</v>
      </c>
      <c r="B35" s="47">
        <f>B21*B19</f>
        <v>8000</v>
      </c>
      <c r="C35" s="47">
        <f>$G$13</f>
        <v>100</v>
      </c>
      <c r="D35" s="47">
        <f>$F$28</f>
        <v>55</v>
      </c>
      <c r="E35" s="32">
        <f>CEILING((B35+C35)/D35,1)</f>
        <v>148</v>
      </c>
      <c r="F35" s="34">
        <f>E35/$B$18</f>
        <v>6.166666666666667</v>
      </c>
      <c r="G35" s="47">
        <f>E35*$B$28</f>
        <v>10064</v>
      </c>
      <c r="H35" s="48">
        <f>(E35*$F$28-C35)/$B$19</f>
        <v>4020</v>
      </c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G37" s="1"/>
      <c r="H37" s="1"/>
    </row>
    <row r="38" spans="1:8">
      <c r="A38" s="18" t="s">
        <v>144</v>
      </c>
      <c r="B38" s="19"/>
      <c r="C38" s="19"/>
      <c r="D38" s="20"/>
      <c r="E38" s="1"/>
      <c r="F38" s="18" t="s">
        <v>145</v>
      </c>
      <c r="G38" s="19"/>
      <c r="H38" s="20"/>
    </row>
    <row r="39" spans="1:8">
      <c r="A39" s="21" t="s">
        <v>76</v>
      </c>
      <c r="B39" s="22" t="s">
        <v>146</v>
      </c>
      <c r="C39" s="22" t="s">
        <v>147</v>
      </c>
      <c r="D39" s="23" t="s">
        <v>148</v>
      </c>
      <c r="E39" s="1"/>
      <c r="F39" s="21" t="s">
        <v>45</v>
      </c>
      <c r="G39" s="22" t="s">
        <v>8</v>
      </c>
      <c r="H39" s="23" t="s">
        <v>149</v>
      </c>
    </row>
    <row r="40" spans="1:8">
      <c r="A40" s="24" t="s">
        <v>150</v>
      </c>
      <c r="B40" s="44">
        <v>25</v>
      </c>
      <c r="C40" s="42">
        <v>13</v>
      </c>
      <c r="D40" s="46">
        <f t="shared" ref="D40:D47" si="0">B40*C40</f>
        <v>325</v>
      </c>
      <c r="E40" s="1"/>
      <c r="F40" s="24" t="s">
        <v>151</v>
      </c>
      <c r="G40" s="42">
        <v>60</v>
      </c>
      <c r="H40" s="46">
        <f>G40-$E$26</f>
        <v>47</v>
      </c>
    </row>
    <row r="41" spans="1:8">
      <c r="A41" s="24" t="s">
        <v>152</v>
      </c>
      <c r="B41" s="44">
        <v>25</v>
      </c>
      <c r="C41" s="42">
        <v>13</v>
      </c>
      <c r="D41" s="46">
        <f t="shared" si="0"/>
        <v>325</v>
      </c>
      <c r="E41" s="1"/>
      <c r="F41" s="24" t="s">
        <v>153</v>
      </c>
      <c r="G41" s="42">
        <v>80</v>
      </c>
      <c r="H41" s="46">
        <f>G41-$E$27</f>
        <v>67</v>
      </c>
    </row>
    <row r="42" spans="1:8">
      <c r="A42" s="24" t="s">
        <v>154</v>
      </c>
      <c r="B42" s="44">
        <v>50</v>
      </c>
      <c r="C42" s="42">
        <v>2</v>
      </c>
      <c r="D42" s="46">
        <f t="shared" si="0"/>
        <v>100</v>
      </c>
      <c r="E42" s="1"/>
      <c r="F42" s="24" t="s">
        <v>155</v>
      </c>
      <c r="G42" s="42">
        <v>100</v>
      </c>
      <c r="H42" s="46">
        <f>G42-2*$E$26</f>
        <v>74</v>
      </c>
    </row>
    <row r="43" spans="1:8">
      <c r="A43" s="24" t="s">
        <v>156</v>
      </c>
      <c r="B43" s="44">
        <v>2</v>
      </c>
      <c r="C43" s="42">
        <v>13</v>
      </c>
      <c r="D43" s="46">
        <f t="shared" si="0"/>
        <v>26</v>
      </c>
      <c r="E43" s="1"/>
      <c r="F43" s="31" t="s">
        <v>157</v>
      </c>
      <c r="G43" s="45">
        <v>120</v>
      </c>
      <c r="H43" s="48">
        <f>G43-$E$26-$E$27</f>
        <v>94</v>
      </c>
    </row>
    <row r="44" spans="1:8">
      <c r="A44" s="24" t="s">
        <v>158</v>
      </c>
      <c r="B44" s="44">
        <v>1</v>
      </c>
      <c r="C44" s="42">
        <v>110</v>
      </c>
      <c r="D44" s="46">
        <f t="shared" si="0"/>
        <v>110</v>
      </c>
      <c r="E44" s="1"/>
      <c r="F44" s="1"/>
      <c r="G44" s="1"/>
      <c r="H44" s="1"/>
    </row>
    <row r="45" spans="1:8">
      <c r="A45" s="24" t="s">
        <v>159</v>
      </c>
      <c r="B45" s="44">
        <v>1</v>
      </c>
      <c r="C45" s="42">
        <v>300</v>
      </c>
      <c r="D45" s="46">
        <f t="shared" si="0"/>
        <v>300</v>
      </c>
      <c r="E45" s="1"/>
      <c r="F45" s="1"/>
      <c r="G45" s="1"/>
      <c r="H45" s="1"/>
    </row>
    <row r="46" spans="1:8">
      <c r="A46" s="24" t="s">
        <v>160</v>
      </c>
      <c r="B46" s="44">
        <v>1</v>
      </c>
      <c r="C46" s="42">
        <v>200</v>
      </c>
      <c r="D46" s="46">
        <f t="shared" si="0"/>
        <v>200</v>
      </c>
      <c r="E46" s="1"/>
      <c r="F46" s="1"/>
      <c r="G46" s="1"/>
      <c r="H46" s="1"/>
    </row>
    <row r="47" spans="1:8">
      <c r="A47" s="24" t="s">
        <v>105</v>
      </c>
      <c r="B47" s="44">
        <v>1</v>
      </c>
      <c r="C47" s="42">
        <v>100</v>
      </c>
      <c r="D47" s="46">
        <f t="shared" si="0"/>
        <v>100</v>
      </c>
      <c r="E47" s="1"/>
      <c r="F47" s="1"/>
      <c r="G47" s="1"/>
      <c r="H47" s="1"/>
    </row>
    <row r="48" spans="1:8">
      <c r="A48" s="26" t="s">
        <v>161</v>
      </c>
      <c r="B48" s="49"/>
      <c r="C48" s="27"/>
      <c r="D48" s="50">
        <f>SUM(D40:D47)</f>
        <v>1486</v>
      </c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H40"/>
  <sheetViews>
    <sheetView showGridLines="0" workbookViewId="0"/>
  </sheetViews>
  <sheetFormatPr baseColWidth="10" defaultColWidth="8.75" defaultRowHeight="14.25"/>
  <cols>
    <col min="1" max="2" width="15" customWidth="1"/>
    <col min="3" max="3" width="42" customWidth="1"/>
    <col min="4" max="4" width="25" customWidth="1"/>
    <col min="5" max="5" width="15" customWidth="1"/>
    <col min="6" max="6" width="18" customWidth="1"/>
    <col min="7" max="7" width="15" customWidth="1"/>
    <col min="8" max="8" width="3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0.25">
      <c r="A2" s="2" t="s">
        <v>162</v>
      </c>
      <c r="B2" s="1"/>
      <c r="C2" s="1"/>
      <c r="D2" s="1"/>
      <c r="E2" s="1"/>
      <c r="F2" s="1"/>
      <c r="G2" s="1"/>
      <c r="H2" s="1"/>
    </row>
    <row r="3" spans="1:8">
      <c r="A3" s="1" t="s">
        <v>163</v>
      </c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1" t="s">
        <v>164</v>
      </c>
      <c r="B5" s="22" t="s">
        <v>165</v>
      </c>
      <c r="C5" s="22" t="s">
        <v>166</v>
      </c>
      <c r="D5" s="22" t="s">
        <v>167</v>
      </c>
      <c r="E5" s="22" t="s">
        <v>168</v>
      </c>
      <c r="F5" s="22" t="s">
        <v>169</v>
      </c>
      <c r="G5" s="22" t="s">
        <v>43</v>
      </c>
      <c r="H5" s="23" t="s">
        <v>170</v>
      </c>
    </row>
    <row r="6" spans="1:8" ht="31.9" customHeight="1">
      <c r="A6" s="37">
        <v>1</v>
      </c>
      <c r="B6" s="10">
        <v>1</v>
      </c>
      <c r="C6" s="9" t="s">
        <v>171</v>
      </c>
      <c r="D6" s="9" t="s">
        <v>172</v>
      </c>
      <c r="E6" s="9" t="s">
        <v>173</v>
      </c>
      <c r="F6" s="9" t="s">
        <v>174</v>
      </c>
      <c r="G6" s="9" t="s">
        <v>49</v>
      </c>
      <c r="H6" s="38"/>
    </row>
    <row r="7" spans="1:8" ht="31.9" customHeight="1">
      <c r="A7" s="37">
        <v>2</v>
      </c>
      <c r="B7" s="10">
        <v>1</v>
      </c>
      <c r="C7" s="9" t="s">
        <v>175</v>
      </c>
      <c r="D7" s="9" t="s">
        <v>176</v>
      </c>
      <c r="E7" s="9" t="s">
        <v>7</v>
      </c>
      <c r="F7" s="9" t="s">
        <v>174</v>
      </c>
      <c r="G7" s="9" t="s">
        <v>49</v>
      </c>
      <c r="H7" s="38"/>
    </row>
    <row r="8" spans="1:8" ht="31.9" customHeight="1">
      <c r="A8" s="37">
        <v>3</v>
      </c>
      <c r="B8" s="10">
        <v>1</v>
      </c>
      <c r="C8" s="9" t="s">
        <v>177</v>
      </c>
      <c r="D8" s="9" t="s">
        <v>178</v>
      </c>
      <c r="E8" s="9" t="s">
        <v>179</v>
      </c>
      <c r="F8" s="9" t="s">
        <v>174</v>
      </c>
      <c r="G8" s="9" t="s">
        <v>49</v>
      </c>
      <c r="H8" s="38"/>
    </row>
    <row r="9" spans="1:8" ht="31.9" customHeight="1">
      <c r="A9" s="37">
        <v>4</v>
      </c>
      <c r="B9" s="10">
        <v>1</v>
      </c>
      <c r="C9" s="9" t="s">
        <v>180</v>
      </c>
      <c r="D9" s="9" t="s">
        <v>181</v>
      </c>
      <c r="E9" s="9" t="s">
        <v>179</v>
      </c>
      <c r="F9" s="9" t="s">
        <v>174</v>
      </c>
      <c r="G9" s="9" t="s">
        <v>49</v>
      </c>
      <c r="H9" s="38"/>
    </row>
    <row r="10" spans="1:8" ht="31.9" customHeight="1">
      <c r="A10" s="37">
        <v>5</v>
      </c>
      <c r="B10" s="10">
        <v>1</v>
      </c>
      <c r="C10" s="9" t="s">
        <v>182</v>
      </c>
      <c r="D10" s="9" t="s">
        <v>183</v>
      </c>
      <c r="E10" s="9" t="s">
        <v>184</v>
      </c>
      <c r="F10" s="9" t="s">
        <v>174</v>
      </c>
      <c r="G10" s="9" t="s">
        <v>49</v>
      </c>
      <c r="H10" s="38"/>
    </row>
    <row r="11" spans="1:8" ht="31.9" customHeight="1">
      <c r="A11" s="37">
        <v>6</v>
      </c>
      <c r="B11" s="10">
        <v>1</v>
      </c>
      <c r="C11" s="9" t="s">
        <v>185</v>
      </c>
      <c r="D11" s="9" t="s">
        <v>186</v>
      </c>
      <c r="E11" s="9" t="s">
        <v>187</v>
      </c>
      <c r="F11" s="9" t="s">
        <v>174</v>
      </c>
      <c r="G11" s="9" t="s">
        <v>49</v>
      </c>
      <c r="H11" s="38"/>
    </row>
    <row r="12" spans="1:8" ht="31.9" customHeight="1">
      <c r="A12" s="37">
        <v>7</v>
      </c>
      <c r="B12" s="10">
        <v>1</v>
      </c>
      <c r="C12" s="9" t="s">
        <v>188</v>
      </c>
      <c r="D12" s="9" t="s">
        <v>189</v>
      </c>
      <c r="E12" s="9" t="s">
        <v>55</v>
      </c>
      <c r="F12" s="9" t="s">
        <v>174</v>
      </c>
      <c r="G12" s="9" t="s">
        <v>49</v>
      </c>
      <c r="H12" s="38"/>
    </row>
    <row r="13" spans="1:8" ht="31.9" customHeight="1">
      <c r="A13" s="37">
        <v>8</v>
      </c>
      <c r="B13" s="10">
        <v>2</v>
      </c>
      <c r="C13" s="9" t="s">
        <v>190</v>
      </c>
      <c r="D13" s="9" t="s">
        <v>191</v>
      </c>
      <c r="E13" s="9" t="s">
        <v>192</v>
      </c>
      <c r="F13" s="9" t="s">
        <v>174</v>
      </c>
      <c r="G13" s="9" t="s">
        <v>49</v>
      </c>
      <c r="H13" s="38"/>
    </row>
    <row r="14" spans="1:8" ht="31.9" customHeight="1">
      <c r="A14" s="37">
        <v>9</v>
      </c>
      <c r="B14" s="10">
        <v>2</v>
      </c>
      <c r="C14" s="9" t="s">
        <v>193</v>
      </c>
      <c r="D14" s="9" t="s">
        <v>194</v>
      </c>
      <c r="E14" s="9" t="s">
        <v>195</v>
      </c>
      <c r="F14" s="9" t="s">
        <v>174</v>
      </c>
      <c r="G14" s="9" t="s">
        <v>49</v>
      </c>
      <c r="H14" s="38"/>
    </row>
    <row r="15" spans="1:8" ht="31.9" customHeight="1">
      <c r="A15" s="37">
        <v>10</v>
      </c>
      <c r="B15" s="10">
        <v>2</v>
      </c>
      <c r="C15" s="9" t="s">
        <v>196</v>
      </c>
      <c r="D15" s="9" t="s">
        <v>197</v>
      </c>
      <c r="E15" s="9" t="s">
        <v>192</v>
      </c>
      <c r="F15" s="9" t="s">
        <v>174</v>
      </c>
      <c r="G15" s="9" t="s">
        <v>49</v>
      </c>
      <c r="H15" s="38"/>
    </row>
    <row r="16" spans="1:8" ht="31.9" customHeight="1">
      <c r="A16" s="37">
        <v>11</v>
      </c>
      <c r="B16" s="10">
        <v>2</v>
      </c>
      <c r="C16" s="9" t="s">
        <v>198</v>
      </c>
      <c r="D16" s="9" t="s">
        <v>191</v>
      </c>
      <c r="E16" s="9" t="s">
        <v>192</v>
      </c>
      <c r="F16" s="9" t="s">
        <v>174</v>
      </c>
      <c r="G16" s="9" t="s">
        <v>49</v>
      </c>
      <c r="H16" s="38"/>
    </row>
    <row r="17" spans="1:8" ht="31.9" customHeight="1">
      <c r="A17" s="37">
        <v>12</v>
      </c>
      <c r="B17" s="10">
        <v>2</v>
      </c>
      <c r="C17" s="9" t="s">
        <v>199</v>
      </c>
      <c r="D17" s="9" t="s">
        <v>194</v>
      </c>
      <c r="E17" s="9" t="s">
        <v>195</v>
      </c>
      <c r="F17" s="9" t="s">
        <v>174</v>
      </c>
      <c r="G17" s="9" t="s">
        <v>49</v>
      </c>
      <c r="H17" s="38"/>
    </row>
    <row r="18" spans="1:8" ht="31.9" customHeight="1">
      <c r="A18" s="37">
        <v>13</v>
      </c>
      <c r="B18" s="10">
        <v>2</v>
      </c>
      <c r="C18" s="9" t="s">
        <v>200</v>
      </c>
      <c r="D18" s="9" t="s">
        <v>201</v>
      </c>
      <c r="E18" s="9" t="s">
        <v>179</v>
      </c>
      <c r="F18" s="9" t="s">
        <v>174</v>
      </c>
      <c r="G18" s="9" t="s">
        <v>49</v>
      </c>
      <c r="H18" s="38"/>
    </row>
    <row r="19" spans="1:8" ht="31.9" customHeight="1">
      <c r="A19" s="37">
        <v>14</v>
      </c>
      <c r="B19" s="10">
        <v>2</v>
      </c>
      <c r="C19" s="9" t="s">
        <v>202</v>
      </c>
      <c r="D19" s="9" t="s">
        <v>203</v>
      </c>
      <c r="E19" s="9" t="s">
        <v>173</v>
      </c>
      <c r="F19" s="9" t="s">
        <v>174</v>
      </c>
      <c r="G19" s="9" t="s">
        <v>49</v>
      </c>
      <c r="H19" s="38"/>
    </row>
    <row r="20" spans="1:8" ht="31.9" customHeight="1">
      <c r="A20" s="37">
        <v>15</v>
      </c>
      <c r="B20" s="10">
        <v>3</v>
      </c>
      <c r="C20" s="9" t="s">
        <v>198</v>
      </c>
      <c r="D20" s="9" t="s">
        <v>204</v>
      </c>
      <c r="E20" s="9" t="s">
        <v>192</v>
      </c>
      <c r="F20" s="9" t="s">
        <v>174</v>
      </c>
      <c r="G20" s="9" t="s">
        <v>49</v>
      </c>
      <c r="H20" s="38"/>
    </row>
    <row r="21" spans="1:8" ht="31.9" customHeight="1">
      <c r="A21" s="37">
        <v>16</v>
      </c>
      <c r="B21" s="10">
        <v>3</v>
      </c>
      <c r="C21" s="9" t="s">
        <v>205</v>
      </c>
      <c r="D21" s="9" t="s">
        <v>206</v>
      </c>
      <c r="E21" s="9" t="s">
        <v>187</v>
      </c>
      <c r="F21" s="9" t="s">
        <v>174</v>
      </c>
      <c r="G21" s="9" t="s">
        <v>49</v>
      </c>
      <c r="H21" s="38"/>
    </row>
    <row r="22" spans="1:8" ht="31.9" customHeight="1">
      <c r="A22" s="37">
        <v>17</v>
      </c>
      <c r="B22" s="10">
        <v>3</v>
      </c>
      <c r="C22" s="9" t="s">
        <v>207</v>
      </c>
      <c r="D22" s="9" t="s">
        <v>208</v>
      </c>
      <c r="E22" s="9" t="s">
        <v>209</v>
      </c>
      <c r="F22" s="9" t="s">
        <v>174</v>
      </c>
      <c r="G22" s="9" t="s">
        <v>49</v>
      </c>
      <c r="H22" s="38"/>
    </row>
    <row r="23" spans="1:8" ht="31.9" customHeight="1">
      <c r="A23" s="37">
        <v>18</v>
      </c>
      <c r="B23" s="10">
        <v>3</v>
      </c>
      <c r="C23" s="9" t="s">
        <v>210</v>
      </c>
      <c r="D23" s="9" t="s">
        <v>211</v>
      </c>
      <c r="E23" s="9" t="s">
        <v>212</v>
      </c>
      <c r="F23" s="9" t="s">
        <v>174</v>
      </c>
      <c r="G23" s="9" t="s">
        <v>49</v>
      </c>
      <c r="H23" s="38"/>
    </row>
    <row r="24" spans="1:8" ht="31.9" customHeight="1">
      <c r="A24" s="37">
        <v>19</v>
      </c>
      <c r="B24" s="10">
        <v>3</v>
      </c>
      <c r="C24" s="9" t="s">
        <v>213</v>
      </c>
      <c r="D24" s="9" t="s">
        <v>214</v>
      </c>
      <c r="E24" s="9" t="s">
        <v>187</v>
      </c>
      <c r="F24" s="9" t="s">
        <v>174</v>
      </c>
      <c r="G24" s="9" t="s">
        <v>49</v>
      </c>
      <c r="H24" s="38"/>
    </row>
    <row r="25" spans="1:8" ht="31.9" customHeight="1">
      <c r="A25" s="37">
        <v>20</v>
      </c>
      <c r="B25" s="10">
        <v>3</v>
      </c>
      <c r="C25" s="9" t="s">
        <v>215</v>
      </c>
      <c r="D25" s="9" t="s">
        <v>194</v>
      </c>
      <c r="E25" s="9" t="s">
        <v>195</v>
      </c>
      <c r="F25" s="9" t="s">
        <v>174</v>
      </c>
      <c r="G25" s="9" t="s">
        <v>49</v>
      </c>
      <c r="H25" s="38"/>
    </row>
    <row r="26" spans="1:8" ht="31.9" customHeight="1">
      <c r="A26" s="37">
        <v>21</v>
      </c>
      <c r="B26" s="10">
        <v>3</v>
      </c>
      <c r="C26" s="9" t="s">
        <v>216</v>
      </c>
      <c r="D26" s="9" t="s">
        <v>217</v>
      </c>
      <c r="E26" s="9" t="s">
        <v>173</v>
      </c>
      <c r="F26" s="9" t="s">
        <v>174</v>
      </c>
      <c r="G26" s="9" t="s">
        <v>49</v>
      </c>
      <c r="H26" s="38"/>
    </row>
    <row r="27" spans="1:8" ht="31.9" customHeight="1">
      <c r="A27" s="37">
        <v>22</v>
      </c>
      <c r="B27" s="10">
        <v>4</v>
      </c>
      <c r="C27" s="9" t="s">
        <v>218</v>
      </c>
      <c r="D27" s="9" t="s">
        <v>204</v>
      </c>
      <c r="E27" s="9" t="s">
        <v>55</v>
      </c>
      <c r="F27" s="9" t="s">
        <v>174</v>
      </c>
      <c r="G27" s="9" t="s">
        <v>49</v>
      </c>
      <c r="H27" s="38"/>
    </row>
    <row r="28" spans="1:8" ht="31.9" customHeight="1">
      <c r="A28" s="37">
        <v>23</v>
      </c>
      <c r="B28" s="10">
        <v>4</v>
      </c>
      <c r="C28" s="9" t="s">
        <v>219</v>
      </c>
      <c r="D28" s="9" t="s">
        <v>220</v>
      </c>
      <c r="E28" s="9" t="s">
        <v>179</v>
      </c>
      <c r="F28" s="9" t="s">
        <v>174</v>
      </c>
      <c r="G28" s="9" t="s">
        <v>49</v>
      </c>
      <c r="H28" s="38"/>
    </row>
    <row r="29" spans="1:8" ht="31.9" customHeight="1">
      <c r="A29" s="37">
        <v>24</v>
      </c>
      <c r="B29" s="10">
        <v>4</v>
      </c>
      <c r="C29" s="9" t="s">
        <v>221</v>
      </c>
      <c r="D29" s="9" t="s">
        <v>222</v>
      </c>
      <c r="E29" s="9" t="s">
        <v>212</v>
      </c>
      <c r="F29" s="9" t="s">
        <v>174</v>
      </c>
      <c r="G29" s="9" t="s">
        <v>49</v>
      </c>
      <c r="H29" s="38"/>
    </row>
    <row r="30" spans="1:8" ht="31.9" customHeight="1">
      <c r="A30" s="37">
        <v>25</v>
      </c>
      <c r="B30" s="10">
        <v>4</v>
      </c>
      <c r="C30" s="9" t="s">
        <v>223</v>
      </c>
      <c r="D30" s="9" t="s">
        <v>224</v>
      </c>
      <c r="E30" s="9" t="s">
        <v>192</v>
      </c>
      <c r="F30" s="9" t="s">
        <v>174</v>
      </c>
      <c r="G30" s="9" t="s">
        <v>49</v>
      </c>
      <c r="H30" s="38"/>
    </row>
    <row r="31" spans="1:8" ht="31.9" customHeight="1">
      <c r="A31" s="37">
        <v>26</v>
      </c>
      <c r="B31" s="10">
        <v>4</v>
      </c>
      <c r="C31" s="9" t="s">
        <v>225</v>
      </c>
      <c r="D31" s="9" t="s">
        <v>226</v>
      </c>
      <c r="E31" s="9" t="s">
        <v>209</v>
      </c>
      <c r="F31" s="9" t="s">
        <v>174</v>
      </c>
      <c r="G31" s="9" t="s">
        <v>49</v>
      </c>
      <c r="H31" s="38"/>
    </row>
    <row r="32" spans="1:8" ht="31.9" customHeight="1">
      <c r="A32" s="37">
        <v>27</v>
      </c>
      <c r="B32" s="10">
        <v>4</v>
      </c>
      <c r="C32" s="9" t="s">
        <v>227</v>
      </c>
      <c r="D32" s="9" t="s">
        <v>228</v>
      </c>
      <c r="E32" s="9" t="s">
        <v>173</v>
      </c>
      <c r="F32" s="9" t="s">
        <v>174</v>
      </c>
      <c r="G32" s="9" t="s">
        <v>49</v>
      </c>
      <c r="H32" s="38"/>
    </row>
    <row r="33" spans="1:8" ht="31.9" customHeight="1">
      <c r="A33" s="37">
        <v>28</v>
      </c>
      <c r="B33" s="10">
        <v>4</v>
      </c>
      <c r="C33" s="9" t="s">
        <v>229</v>
      </c>
      <c r="D33" s="9" t="s">
        <v>230</v>
      </c>
      <c r="E33" s="9" t="s">
        <v>173</v>
      </c>
      <c r="F33" s="9" t="s">
        <v>174</v>
      </c>
      <c r="G33" s="9" t="s">
        <v>49</v>
      </c>
      <c r="H33" s="38"/>
    </row>
    <row r="34" spans="1:8" ht="31.9" customHeight="1">
      <c r="A34" s="37">
        <v>29</v>
      </c>
      <c r="B34" s="10">
        <v>5</v>
      </c>
      <c r="C34" s="9" t="s">
        <v>231</v>
      </c>
      <c r="D34" s="9" t="s">
        <v>232</v>
      </c>
      <c r="E34" s="9" t="s">
        <v>233</v>
      </c>
      <c r="F34" s="9" t="s">
        <v>174</v>
      </c>
      <c r="G34" s="9" t="s">
        <v>49</v>
      </c>
      <c r="H34" s="38"/>
    </row>
    <row r="35" spans="1:8" ht="31.9" customHeight="1">
      <c r="A35" s="39">
        <v>30</v>
      </c>
      <c r="B35" s="51">
        <v>5</v>
      </c>
      <c r="C35" s="40" t="s">
        <v>234</v>
      </c>
      <c r="D35" s="40" t="s">
        <v>235</v>
      </c>
      <c r="E35" s="40" t="s">
        <v>173</v>
      </c>
      <c r="F35" s="9" t="s">
        <v>174</v>
      </c>
      <c r="G35" s="40" t="s">
        <v>49</v>
      </c>
      <c r="H35" s="4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conditionalFormatting sqref="G6:G35">
    <cfRule type="containsText" dxfId="7" priority="1" operator="containsText" text="Hecho"/>
    <cfRule type="containsText" dxfId="6" priority="2" operator="containsText" text="Bloqueado"/>
  </conditionalFormatting>
  <dataValidations count="1">
    <dataValidation type="list" sqref="G6:G35" xr:uid="{00000000-0002-0000-0200-000000000000}">
      <formula1>"Pendiente,En curso,Hecho,Bloqueado"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6"/>
  </sheetPr>
  <dimension ref="A1:P210"/>
  <sheetViews>
    <sheetView showGridLines="0" topLeftCell="B1" workbookViewId="0"/>
  </sheetViews>
  <sheetFormatPr baseColWidth="10" defaultColWidth="8.75" defaultRowHeight="14.25"/>
  <cols>
    <col min="1" max="1" width="15" customWidth="1"/>
    <col min="2" max="2" width="25" customWidth="1"/>
    <col min="3" max="4" width="18" customWidth="1"/>
    <col min="5" max="5" width="15" customWidth="1"/>
    <col min="6" max="6" width="22" customWidth="1"/>
    <col min="7" max="13" width="15" customWidth="1"/>
    <col min="14" max="14" width="28" customWidth="1"/>
    <col min="15" max="15" width="15" customWidth="1"/>
    <col min="16" max="16" width="3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>
      <c r="A2" s="2" t="s">
        <v>236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237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52" t="s">
        <v>238</v>
      </c>
      <c r="B5" s="53" t="s">
        <v>239</v>
      </c>
      <c r="C5" s="53" t="s">
        <v>240</v>
      </c>
      <c r="D5" s="53" t="s">
        <v>241</v>
      </c>
      <c r="E5" s="53" t="s">
        <v>168</v>
      </c>
      <c r="F5" s="53" t="s">
        <v>242</v>
      </c>
      <c r="G5" s="53" t="s">
        <v>43</v>
      </c>
      <c r="H5" s="53" t="s">
        <v>7</v>
      </c>
      <c r="I5" s="53" t="s">
        <v>146</v>
      </c>
      <c r="J5" s="53" t="s">
        <v>243</v>
      </c>
      <c r="K5" s="53" t="s">
        <v>244</v>
      </c>
      <c r="L5" s="53" t="s">
        <v>245</v>
      </c>
      <c r="M5" s="53" t="s">
        <v>246</v>
      </c>
      <c r="N5" s="53" t="s">
        <v>247</v>
      </c>
      <c r="O5" s="53" t="s">
        <v>248</v>
      </c>
      <c r="P5" s="54" t="s">
        <v>249</v>
      </c>
    </row>
    <row r="6" spans="1:16">
      <c r="A6" s="55"/>
      <c r="B6" s="1"/>
      <c r="C6" s="1"/>
      <c r="D6" s="1"/>
      <c r="E6" s="1"/>
      <c r="F6" s="1"/>
      <c r="G6" s="1"/>
      <c r="H6" s="1"/>
      <c r="I6" s="7"/>
      <c r="J6" s="5" t="str">
        <f>IF(H6="Estándar",'Costos y metas'!$B$14,IF(H6="Premium",'Costos y metas'!$B$15,IF(H6="Pack 2 Estándar",'Costos y metas'!$G$42,IF(H6="Pack mixto",'Costos y metas'!$G$43,""))))</f>
        <v/>
      </c>
      <c r="K6" s="5" t="str">
        <f t="shared" ref="K6:K37" si="0">IF(OR(I6="",J6=""),"",I6*J6)</f>
        <v/>
      </c>
      <c r="L6" s="5" t="str">
        <f>IF(H6="Estándar",I6*'Costos y metas'!$E$26,IF(H6="Premium",I6*'Costos y metas'!$E$27,IF(H6="Pack 2 Estándar",I6*2*'Costos y metas'!$E$26,IF(H6="Pack mixto",I6*('Costos y metas'!$E$26+'Costos y metas'!$E$27),""))))</f>
        <v/>
      </c>
      <c r="M6" s="5" t="str">
        <f t="shared" ref="M6:M37" si="1">IF(OR(K6="",L6=""),"",K6-L6)</f>
        <v/>
      </c>
      <c r="N6" s="1"/>
      <c r="O6" s="11"/>
      <c r="P6" s="56"/>
    </row>
    <row r="7" spans="1:16">
      <c r="A7" s="55"/>
      <c r="B7" s="1"/>
      <c r="C7" s="1"/>
      <c r="D7" s="1"/>
      <c r="E7" s="1"/>
      <c r="F7" s="1"/>
      <c r="G7" s="1"/>
      <c r="H7" s="1"/>
      <c r="I7" s="7"/>
      <c r="J7" s="5" t="str">
        <f>IF(H7="Estándar",'Costos y metas'!$B$14,IF(H7="Premium",'Costos y metas'!$B$15,IF(H7="Pack 2 Estándar",'Costos y metas'!$G$42,IF(H7="Pack mixto",'Costos y metas'!$G$43,""))))</f>
        <v/>
      </c>
      <c r="K7" s="5" t="str">
        <f t="shared" si="0"/>
        <v/>
      </c>
      <c r="L7" s="5" t="str">
        <f>IF(H7="Estándar",I7*'Costos y metas'!$E$26,IF(H7="Premium",I7*'Costos y metas'!$E$27,IF(H7="Pack 2 Estándar",I7*2*'Costos y metas'!$E$26,IF(H7="Pack mixto",I7*('Costos y metas'!$E$26+'Costos y metas'!$E$27),""))))</f>
        <v/>
      </c>
      <c r="M7" s="5" t="str">
        <f t="shared" si="1"/>
        <v/>
      </c>
      <c r="N7" s="1"/>
      <c r="O7" s="11"/>
      <c r="P7" s="56"/>
    </row>
    <row r="8" spans="1:16">
      <c r="A8" s="55"/>
      <c r="B8" s="1"/>
      <c r="C8" s="1"/>
      <c r="D8" s="1"/>
      <c r="E8" s="1"/>
      <c r="F8" s="1"/>
      <c r="G8" s="1"/>
      <c r="H8" s="1"/>
      <c r="I8" s="7"/>
      <c r="J8" s="5" t="str">
        <f>IF(H8="Estándar",'Costos y metas'!$B$14,IF(H8="Premium",'Costos y metas'!$B$15,IF(H8="Pack 2 Estándar",'Costos y metas'!$G$42,IF(H8="Pack mixto",'Costos y metas'!$G$43,""))))</f>
        <v/>
      </c>
      <c r="K8" s="5" t="str">
        <f t="shared" si="0"/>
        <v/>
      </c>
      <c r="L8" s="5" t="str">
        <f>IF(H8="Estándar",I8*'Costos y metas'!$E$26,IF(H8="Premium",I8*'Costos y metas'!$E$27,IF(H8="Pack 2 Estándar",I8*2*'Costos y metas'!$E$26,IF(H8="Pack mixto",I8*('Costos y metas'!$E$26+'Costos y metas'!$E$27),""))))</f>
        <v/>
      </c>
      <c r="M8" s="5" t="str">
        <f t="shared" si="1"/>
        <v/>
      </c>
      <c r="N8" s="1"/>
      <c r="O8" s="11"/>
      <c r="P8" s="56"/>
    </row>
    <row r="9" spans="1:16">
      <c r="A9" s="55"/>
      <c r="B9" s="1"/>
      <c r="C9" s="1"/>
      <c r="D9" s="1"/>
      <c r="E9" s="1"/>
      <c r="F9" s="1"/>
      <c r="G9" s="1"/>
      <c r="H9" s="1"/>
      <c r="I9" s="7"/>
      <c r="J9" s="5" t="str">
        <f>IF(H9="Estándar",'Costos y metas'!$B$14,IF(H9="Premium",'Costos y metas'!$B$15,IF(H9="Pack 2 Estándar",'Costos y metas'!$G$42,IF(H9="Pack mixto",'Costos y metas'!$G$43,""))))</f>
        <v/>
      </c>
      <c r="K9" s="5" t="str">
        <f t="shared" si="0"/>
        <v/>
      </c>
      <c r="L9" s="5" t="str">
        <f>IF(H9="Estándar",I9*'Costos y metas'!$E$26,IF(H9="Premium",I9*'Costos y metas'!$E$27,IF(H9="Pack 2 Estándar",I9*2*'Costos y metas'!$E$26,IF(H9="Pack mixto",I9*('Costos y metas'!$E$26+'Costos y metas'!$E$27),""))))</f>
        <v/>
      </c>
      <c r="M9" s="5" t="str">
        <f t="shared" si="1"/>
        <v/>
      </c>
      <c r="N9" s="1"/>
      <c r="O9" s="11"/>
      <c r="P9" s="56"/>
    </row>
    <row r="10" spans="1:16">
      <c r="A10" s="55"/>
      <c r="B10" s="1"/>
      <c r="C10" s="1"/>
      <c r="D10" s="1"/>
      <c r="E10" s="1"/>
      <c r="F10" s="1"/>
      <c r="G10" s="1"/>
      <c r="H10" s="1"/>
      <c r="I10" s="7"/>
      <c r="J10" s="5" t="str">
        <f>IF(H10="Estándar",'Costos y metas'!$B$14,IF(H10="Premium",'Costos y metas'!$B$15,IF(H10="Pack 2 Estándar",'Costos y metas'!$G$42,IF(H10="Pack mixto",'Costos y metas'!$G$43,""))))</f>
        <v/>
      </c>
      <c r="K10" s="5" t="str">
        <f t="shared" si="0"/>
        <v/>
      </c>
      <c r="L10" s="5" t="str">
        <f>IF(H10="Estándar",I10*'Costos y metas'!$E$26,IF(H10="Premium",I10*'Costos y metas'!$E$27,IF(H10="Pack 2 Estándar",I10*2*'Costos y metas'!$E$26,IF(H10="Pack mixto",I10*('Costos y metas'!$E$26+'Costos y metas'!$E$27),""))))</f>
        <v/>
      </c>
      <c r="M10" s="5" t="str">
        <f t="shared" si="1"/>
        <v/>
      </c>
      <c r="N10" s="1"/>
      <c r="O10" s="11"/>
      <c r="P10" s="56"/>
    </row>
    <row r="11" spans="1:16">
      <c r="A11" s="55"/>
      <c r="B11" s="1"/>
      <c r="C11" s="1"/>
      <c r="D11" s="1"/>
      <c r="E11" s="1"/>
      <c r="F11" s="1"/>
      <c r="G11" s="1"/>
      <c r="H11" s="1"/>
      <c r="I11" s="7"/>
      <c r="J11" s="5" t="str">
        <f>IF(H11="Estándar",'Costos y metas'!$B$14,IF(H11="Premium",'Costos y metas'!$B$15,IF(H11="Pack 2 Estándar",'Costos y metas'!$G$42,IF(H11="Pack mixto",'Costos y metas'!$G$43,""))))</f>
        <v/>
      </c>
      <c r="K11" s="5" t="str">
        <f t="shared" si="0"/>
        <v/>
      </c>
      <c r="L11" s="5" t="str">
        <f>IF(H11="Estándar",I11*'Costos y metas'!$E$26,IF(H11="Premium",I11*'Costos y metas'!$E$27,IF(H11="Pack 2 Estándar",I11*2*'Costos y metas'!$E$26,IF(H11="Pack mixto",I11*('Costos y metas'!$E$26+'Costos y metas'!$E$27),""))))</f>
        <v/>
      </c>
      <c r="M11" s="5" t="str">
        <f t="shared" si="1"/>
        <v/>
      </c>
      <c r="N11" s="1"/>
      <c r="O11" s="11"/>
      <c r="P11" s="56"/>
    </row>
    <row r="12" spans="1:16">
      <c r="A12" s="55"/>
      <c r="B12" s="1"/>
      <c r="C12" s="1"/>
      <c r="D12" s="1"/>
      <c r="E12" s="1"/>
      <c r="F12" s="1"/>
      <c r="G12" s="1"/>
      <c r="H12" s="1"/>
      <c r="I12" s="7"/>
      <c r="J12" s="5" t="str">
        <f>IF(H12="Estándar",'Costos y metas'!$B$14,IF(H12="Premium",'Costos y metas'!$B$15,IF(H12="Pack 2 Estándar",'Costos y metas'!$G$42,IF(H12="Pack mixto",'Costos y metas'!$G$43,""))))</f>
        <v/>
      </c>
      <c r="K12" s="5" t="str">
        <f t="shared" si="0"/>
        <v/>
      </c>
      <c r="L12" s="5" t="str">
        <f>IF(H12="Estándar",I12*'Costos y metas'!$E$26,IF(H12="Premium",I12*'Costos y metas'!$E$27,IF(H12="Pack 2 Estándar",I12*2*'Costos y metas'!$E$26,IF(H12="Pack mixto",I12*('Costos y metas'!$E$26+'Costos y metas'!$E$27),""))))</f>
        <v/>
      </c>
      <c r="M12" s="5" t="str">
        <f t="shared" si="1"/>
        <v/>
      </c>
      <c r="N12" s="1"/>
      <c r="O12" s="11"/>
      <c r="P12" s="56"/>
    </row>
    <row r="13" spans="1:16">
      <c r="A13" s="55"/>
      <c r="B13" s="1"/>
      <c r="C13" s="1"/>
      <c r="D13" s="1"/>
      <c r="E13" s="1"/>
      <c r="F13" s="1"/>
      <c r="G13" s="1"/>
      <c r="H13" s="1"/>
      <c r="I13" s="7"/>
      <c r="J13" s="5" t="str">
        <f>IF(H13="Estándar",'Costos y metas'!$B$14,IF(H13="Premium",'Costos y metas'!$B$15,IF(H13="Pack 2 Estándar",'Costos y metas'!$G$42,IF(H13="Pack mixto",'Costos y metas'!$G$43,""))))</f>
        <v/>
      </c>
      <c r="K13" s="5" t="str">
        <f t="shared" si="0"/>
        <v/>
      </c>
      <c r="L13" s="5" t="str">
        <f>IF(H13="Estándar",I13*'Costos y metas'!$E$26,IF(H13="Premium",I13*'Costos y metas'!$E$27,IF(H13="Pack 2 Estándar",I13*2*'Costos y metas'!$E$26,IF(H13="Pack mixto",I13*('Costos y metas'!$E$26+'Costos y metas'!$E$27),""))))</f>
        <v/>
      </c>
      <c r="M13" s="5" t="str">
        <f t="shared" si="1"/>
        <v/>
      </c>
      <c r="N13" s="1"/>
      <c r="O13" s="11"/>
      <c r="P13" s="56"/>
    </row>
    <row r="14" spans="1:16">
      <c r="A14" s="55"/>
      <c r="B14" s="1"/>
      <c r="C14" s="1"/>
      <c r="D14" s="1"/>
      <c r="E14" s="1"/>
      <c r="F14" s="1"/>
      <c r="G14" s="1"/>
      <c r="H14" s="1"/>
      <c r="I14" s="7"/>
      <c r="J14" s="5" t="str">
        <f>IF(H14="Estándar",'Costos y metas'!$B$14,IF(H14="Premium",'Costos y metas'!$B$15,IF(H14="Pack 2 Estándar",'Costos y metas'!$G$42,IF(H14="Pack mixto",'Costos y metas'!$G$43,""))))</f>
        <v/>
      </c>
      <c r="K14" s="5" t="str">
        <f t="shared" si="0"/>
        <v/>
      </c>
      <c r="L14" s="5" t="str">
        <f>IF(H14="Estándar",I14*'Costos y metas'!$E$26,IF(H14="Premium",I14*'Costos y metas'!$E$27,IF(H14="Pack 2 Estándar",I14*2*'Costos y metas'!$E$26,IF(H14="Pack mixto",I14*('Costos y metas'!$E$26+'Costos y metas'!$E$27),""))))</f>
        <v/>
      </c>
      <c r="M14" s="5" t="str">
        <f t="shared" si="1"/>
        <v/>
      </c>
      <c r="N14" s="1"/>
      <c r="O14" s="11"/>
      <c r="P14" s="56"/>
    </row>
    <row r="15" spans="1:16">
      <c r="A15" s="55"/>
      <c r="B15" s="1"/>
      <c r="C15" s="1"/>
      <c r="D15" s="1"/>
      <c r="E15" s="1"/>
      <c r="F15" s="1"/>
      <c r="G15" s="1"/>
      <c r="H15" s="1"/>
      <c r="I15" s="7"/>
      <c r="J15" s="5" t="str">
        <f>IF(H15="Estándar",'Costos y metas'!$B$14,IF(H15="Premium",'Costos y metas'!$B$15,IF(H15="Pack 2 Estándar",'Costos y metas'!$G$42,IF(H15="Pack mixto",'Costos y metas'!$G$43,""))))</f>
        <v/>
      </c>
      <c r="K15" s="5" t="str">
        <f t="shared" si="0"/>
        <v/>
      </c>
      <c r="L15" s="5" t="str">
        <f>IF(H15="Estándar",I15*'Costos y metas'!$E$26,IF(H15="Premium",I15*'Costos y metas'!$E$27,IF(H15="Pack 2 Estándar",I15*2*'Costos y metas'!$E$26,IF(H15="Pack mixto",I15*('Costos y metas'!$E$26+'Costos y metas'!$E$27),""))))</f>
        <v/>
      </c>
      <c r="M15" s="5" t="str">
        <f t="shared" si="1"/>
        <v/>
      </c>
      <c r="N15" s="1"/>
      <c r="O15" s="11"/>
      <c r="P15" s="56"/>
    </row>
    <row r="16" spans="1:16">
      <c r="A16" s="55"/>
      <c r="B16" s="1"/>
      <c r="C16" s="1"/>
      <c r="D16" s="1"/>
      <c r="E16" s="1"/>
      <c r="F16" s="1"/>
      <c r="G16" s="1"/>
      <c r="H16" s="1"/>
      <c r="I16" s="7"/>
      <c r="J16" s="5" t="str">
        <f>IF(H16="Estándar",'Costos y metas'!$B$14,IF(H16="Premium",'Costos y metas'!$B$15,IF(H16="Pack 2 Estándar",'Costos y metas'!$G$42,IF(H16="Pack mixto",'Costos y metas'!$G$43,""))))</f>
        <v/>
      </c>
      <c r="K16" s="5" t="str">
        <f t="shared" si="0"/>
        <v/>
      </c>
      <c r="L16" s="5" t="str">
        <f>IF(H16="Estándar",I16*'Costos y metas'!$E$26,IF(H16="Premium",I16*'Costos y metas'!$E$27,IF(H16="Pack 2 Estándar",I16*2*'Costos y metas'!$E$26,IF(H16="Pack mixto",I16*('Costos y metas'!$E$26+'Costos y metas'!$E$27),""))))</f>
        <v/>
      </c>
      <c r="M16" s="5" t="str">
        <f t="shared" si="1"/>
        <v/>
      </c>
      <c r="N16" s="1"/>
      <c r="O16" s="11"/>
      <c r="P16" s="56"/>
    </row>
    <row r="17" spans="1:16">
      <c r="A17" s="55"/>
      <c r="B17" s="1"/>
      <c r="C17" s="1"/>
      <c r="D17" s="1"/>
      <c r="E17" s="1"/>
      <c r="F17" s="1"/>
      <c r="G17" s="1"/>
      <c r="H17" s="1"/>
      <c r="I17" s="7"/>
      <c r="J17" s="5" t="str">
        <f>IF(H17="Estándar",'Costos y metas'!$B$14,IF(H17="Premium",'Costos y metas'!$B$15,IF(H17="Pack 2 Estándar",'Costos y metas'!$G$42,IF(H17="Pack mixto",'Costos y metas'!$G$43,""))))</f>
        <v/>
      </c>
      <c r="K17" s="5" t="str">
        <f t="shared" si="0"/>
        <v/>
      </c>
      <c r="L17" s="5" t="str">
        <f>IF(H17="Estándar",I17*'Costos y metas'!$E$26,IF(H17="Premium",I17*'Costos y metas'!$E$27,IF(H17="Pack 2 Estándar",I17*2*'Costos y metas'!$E$26,IF(H17="Pack mixto",I17*('Costos y metas'!$E$26+'Costos y metas'!$E$27),""))))</f>
        <v/>
      </c>
      <c r="M17" s="5" t="str">
        <f t="shared" si="1"/>
        <v/>
      </c>
      <c r="N17" s="1"/>
      <c r="O17" s="11"/>
      <c r="P17" s="56"/>
    </row>
    <row r="18" spans="1:16">
      <c r="A18" s="55"/>
      <c r="B18" s="1"/>
      <c r="C18" s="1"/>
      <c r="D18" s="1"/>
      <c r="E18" s="1"/>
      <c r="F18" s="1"/>
      <c r="G18" s="1"/>
      <c r="H18" s="1"/>
      <c r="I18" s="7"/>
      <c r="J18" s="5" t="str">
        <f>IF(H18="Estándar",'Costos y metas'!$B$14,IF(H18="Premium",'Costos y metas'!$B$15,IF(H18="Pack 2 Estándar",'Costos y metas'!$G$42,IF(H18="Pack mixto",'Costos y metas'!$G$43,""))))</f>
        <v/>
      </c>
      <c r="K18" s="5" t="str">
        <f t="shared" si="0"/>
        <v/>
      </c>
      <c r="L18" s="5" t="str">
        <f>IF(H18="Estándar",I18*'Costos y metas'!$E$26,IF(H18="Premium",I18*'Costos y metas'!$E$27,IF(H18="Pack 2 Estándar",I18*2*'Costos y metas'!$E$26,IF(H18="Pack mixto",I18*('Costos y metas'!$E$26+'Costos y metas'!$E$27),""))))</f>
        <v/>
      </c>
      <c r="M18" s="5" t="str">
        <f t="shared" si="1"/>
        <v/>
      </c>
      <c r="N18" s="1"/>
      <c r="O18" s="11"/>
      <c r="P18" s="56"/>
    </row>
    <row r="19" spans="1:16">
      <c r="A19" s="55"/>
      <c r="B19" s="1"/>
      <c r="C19" s="1"/>
      <c r="D19" s="1"/>
      <c r="E19" s="1"/>
      <c r="F19" s="1"/>
      <c r="G19" s="1"/>
      <c r="H19" s="1"/>
      <c r="I19" s="7"/>
      <c r="J19" s="5" t="str">
        <f>IF(H19="Estándar",'Costos y metas'!$B$14,IF(H19="Premium",'Costos y metas'!$B$15,IF(H19="Pack 2 Estándar",'Costos y metas'!$G$42,IF(H19="Pack mixto",'Costos y metas'!$G$43,""))))</f>
        <v/>
      </c>
      <c r="K19" s="5" t="str">
        <f t="shared" si="0"/>
        <v/>
      </c>
      <c r="L19" s="5" t="str">
        <f>IF(H19="Estándar",I19*'Costos y metas'!$E$26,IF(H19="Premium",I19*'Costos y metas'!$E$27,IF(H19="Pack 2 Estándar",I19*2*'Costos y metas'!$E$26,IF(H19="Pack mixto",I19*('Costos y metas'!$E$26+'Costos y metas'!$E$27),""))))</f>
        <v/>
      </c>
      <c r="M19" s="5" t="str">
        <f t="shared" si="1"/>
        <v/>
      </c>
      <c r="N19" s="1"/>
      <c r="O19" s="11"/>
      <c r="P19" s="56"/>
    </row>
    <row r="20" spans="1:16">
      <c r="A20" s="55"/>
      <c r="B20" s="1"/>
      <c r="C20" s="1"/>
      <c r="D20" s="1"/>
      <c r="E20" s="1"/>
      <c r="F20" s="1"/>
      <c r="G20" s="1"/>
      <c r="H20" s="1"/>
      <c r="I20" s="7"/>
      <c r="J20" s="5" t="str">
        <f>IF(H20="Estándar",'Costos y metas'!$B$14,IF(H20="Premium",'Costos y metas'!$B$15,IF(H20="Pack 2 Estándar",'Costos y metas'!$G$42,IF(H20="Pack mixto",'Costos y metas'!$G$43,""))))</f>
        <v/>
      </c>
      <c r="K20" s="5" t="str">
        <f t="shared" si="0"/>
        <v/>
      </c>
      <c r="L20" s="5" t="str">
        <f>IF(H20="Estándar",I20*'Costos y metas'!$E$26,IF(H20="Premium",I20*'Costos y metas'!$E$27,IF(H20="Pack 2 Estándar",I20*2*'Costos y metas'!$E$26,IF(H20="Pack mixto",I20*('Costos y metas'!$E$26+'Costos y metas'!$E$27),""))))</f>
        <v/>
      </c>
      <c r="M20" s="5" t="str">
        <f t="shared" si="1"/>
        <v/>
      </c>
      <c r="N20" s="1"/>
      <c r="O20" s="11"/>
      <c r="P20" s="56"/>
    </row>
    <row r="21" spans="1:16">
      <c r="A21" s="55"/>
      <c r="B21" s="1"/>
      <c r="C21" s="1"/>
      <c r="D21" s="1"/>
      <c r="E21" s="1"/>
      <c r="F21" s="1"/>
      <c r="G21" s="1"/>
      <c r="H21" s="1"/>
      <c r="I21" s="7"/>
      <c r="J21" s="5" t="str">
        <f>IF(H21="Estándar",'Costos y metas'!$B$14,IF(H21="Premium",'Costos y metas'!$B$15,IF(H21="Pack 2 Estándar",'Costos y metas'!$G$42,IF(H21="Pack mixto",'Costos y metas'!$G$43,""))))</f>
        <v/>
      </c>
      <c r="K21" s="5" t="str">
        <f t="shared" si="0"/>
        <v/>
      </c>
      <c r="L21" s="5" t="str">
        <f>IF(H21="Estándar",I21*'Costos y metas'!$E$26,IF(H21="Premium",I21*'Costos y metas'!$E$27,IF(H21="Pack 2 Estándar",I21*2*'Costos y metas'!$E$26,IF(H21="Pack mixto",I21*('Costos y metas'!$E$26+'Costos y metas'!$E$27),""))))</f>
        <v/>
      </c>
      <c r="M21" s="5" t="str">
        <f t="shared" si="1"/>
        <v/>
      </c>
      <c r="N21" s="1"/>
      <c r="O21" s="11"/>
      <c r="P21" s="56"/>
    </row>
    <row r="22" spans="1:16">
      <c r="A22" s="55"/>
      <c r="B22" s="1"/>
      <c r="C22" s="1"/>
      <c r="D22" s="1"/>
      <c r="E22" s="1"/>
      <c r="F22" s="1"/>
      <c r="G22" s="1"/>
      <c r="H22" s="1"/>
      <c r="I22" s="7"/>
      <c r="J22" s="5" t="str">
        <f>IF(H22="Estándar",'Costos y metas'!$B$14,IF(H22="Premium",'Costos y metas'!$B$15,IF(H22="Pack 2 Estándar",'Costos y metas'!$G$42,IF(H22="Pack mixto",'Costos y metas'!$G$43,""))))</f>
        <v/>
      </c>
      <c r="K22" s="5" t="str">
        <f t="shared" si="0"/>
        <v/>
      </c>
      <c r="L22" s="5" t="str">
        <f>IF(H22="Estándar",I22*'Costos y metas'!$E$26,IF(H22="Premium",I22*'Costos y metas'!$E$27,IF(H22="Pack 2 Estándar",I22*2*'Costos y metas'!$E$26,IF(H22="Pack mixto",I22*('Costos y metas'!$E$26+'Costos y metas'!$E$27),""))))</f>
        <v/>
      </c>
      <c r="M22" s="5" t="str">
        <f t="shared" si="1"/>
        <v/>
      </c>
      <c r="N22" s="1"/>
      <c r="O22" s="11"/>
      <c r="P22" s="56"/>
    </row>
    <row r="23" spans="1:16">
      <c r="A23" s="55"/>
      <c r="B23" s="1"/>
      <c r="C23" s="1"/>
      <c r="D23" s="1"/>
      <c r="E23" s="1"/>
      <c r="F23" s="1"/>
      <c r="G23" s="1"/>
      <c r="H23" s="1"/>
      <c r="I23" s="7"/>
      <c r="J23" s="5" t="str">
        <f>IF(H23="Estándar",'Costos y metas'!$B$14,IF(H23="Premium",'Costos y metas'!$B$15,IF(H23="Pack 2 Estándar",'Costos y metas'!$G$42,IF(H23="Pack mixto",'Costos y metas'!$G$43,""))))</f>
        <v/>
      </c>
      <c r="K23" s="5" t="str">
        <f t="shared" si="0"/>
        <v/>
      </c>
      <c r="L23" s="5" t="str">
        <f>IF(H23="Estándar",I23*'Costos y metas'!$E$26,IF(H23="Premium",I23*'Costos y metas'!$E$27,IF(H23="Pack 2 Estándar",I23*2*'Costos y metas'!$E$26,IF(H23="Pack mixto",I23*('Costos y metas'!$E$26+'Costos y metas'!$E$27),""))))</f>
        <v/>
      </c>
      <c r="M23" s="5" t="str">
        <f t="shared" si="1"/>
        <v/>
      </c>
      <c r="N23" s="1"/>
      <c r="O23" s="11"/>
      <c r="P23" s="56"/>
    </row>
    <row r="24" spans="1:16">
      <c r="A24" s="55"/>
      <c r="B24" s="1"/>
      <c r="C24" s="1"/>
      <c r="D24" s="1"/>
      <c r="E24" s="1"/>
      <c r="F24" s="1"/>
      <c r="G24" s="1"/>
      <c r="H24" s="1"/>
      <c r="I24" s="7"/>
      <c r="J24" s="5" t="str">
        <f>IF(H24="Estándar",'Costos y metas'!$B$14,IF(H24="Premium",'Costos y metas'!$B$15,IF(H24="Pack 2 Estándar",'Costos y metas'!$G$42,IF(H24="Pack mixto",'Costos y metas'!$G$43,""))))</f>
        <v/>
      </c>
      <c r="K24" s="5" t="str">
        <f t="shared" si="0"/>
        <v/>
      </c>
      <c r="L24" s="5" t="str">
        <f>IF(H24="Estándar",I24*'Costos y metas'!$E$26,IF(H24="Premium",I24*'Costos y metas'!$E$27,IF(H24="Pack 2 Estándar",I24*2*'Costos y metas'!$E$26,IF(H24="Pack mixto",I24*('Costos y metas'!$E$26+'Costos y metas'!$E$27),""))))</f>
        <v/>
      </c>
      <c r="M24" s="5" t="str">
        <f t="shared" si="1"/>
        <v/>
      </c>
      <c r="N24" s="1"/>
      <c r="O24" s="11"/>
      <c r="P24" s="56"/>
    </row>
    <row r="25" spans="1:16">
      <c r="A25" s="55"/>
      <c r="B25" s="1"/>
      <c r="C25" s="1"/>
      <c r="D25" s="1"/>
      <c r="E25" s="1"/>
      <c r="F25" s="1"/>
      <c r="G25" s="1"/>
      <c r="H25" s="1"/>
      <c r="I25" s="7"/>
      <c r="J25" s="5" t="str">
        <f>IF(H25="Estándar",'Costos y metas'!$B$14,IF(H25="Premium",'Costos y metas'!$B$15,IF(H25="Pack 2 Estándar",'Costos y metas'!$G$42,IF(H25="Pack mixto",'Costos y metas'!$G$43,""))))</f>
        <v/>
      </c>
      <c r="K25" s="5" t="str">
        <f t="shared" si="0"/>
        <v/>
      </c>
      <c r="L25" s="5" t="str">
        <f>IF(H25="Estándar",I25*'Costos y metas'!$E$26,IF(H25="Premium",I25*'Costos y metas'!$E$27,IF(H25="Pack 2 Estándar",I25*2*'Costos y metas'!$E$26,IF(H25="Pack mixto",I25*('Costos y metas'!$E$26+'Costos y metas'!$E$27),""))))</f>
        <v/>
      </c>
      <c r="M25" s="5" t="str">
        <f t="shared" si="1"/>
        <v/>
      </c>
      <c r="N25" s="1"/>
      <c r="O25" s="11"/>
      <c r="P25" s="56"/>
    </row>
    <row r="26" spans="1:16">
      <c r="A26" s="55"/>
      <c r="B26" s="1"/>
      <c r="C26" s="1"/>
      <c r="D26" s="1"/>
      <c r="E26" s="1"/>
      <c r="F26" s="1"/>
      <c r="G26" s="1"/>
      <c r="H26" s="1"/>
      <c r="I26" s="7"/>
      <c r="J26" s="5" t="str">
        <f>IF(H26="Estándar",'Costos y metas'!$B$14,IF(H26="Premium",'Costos y metas'!$B$15,IF(H26="Pack 2 Estándar",'Costos y metas'!$G$42,IF(H26="Pack mixto",'Costos y metas'!$G$43,""))))</f>
        <v/>
      </c>
      <c r="K26" s="5" t="str">
        <f t="shared" si="0"/>
        <v/>
      </c>
      <c r="L26" s="5" t="str">
        <f>IF(H26="Estándar",I26*'Costos y metas'!$E$26,IF(H26="Premium",I26*'Costos y metas'!$E$27,IF(H26="Pack 2 Estándar",I26*2*'Costos y metas'!$E$26,IF(H26="Pack mixto",I26*('Costos y metas'!$E$26+'Costos y metas'!$E$27),""))))</f>
        <v/>
      </c>
      <c r="M26" s="5" t="str">
        <f t="shared" si="1"/>
        <v/>
      </c>
      <c r="N26" s="1"/>
      <c r="O26" s="11"/>
      <c r="P26" s="56"/>
    </row>
    <row r="27" spans="1:16">
      <c r="A27" s="55"/>
      <c r="B27" s="1"/>
      <c r="C27" s="1"/>
      <c r="D27" s="1"/>
      <c r="E27" s="1"/>
      <c r="F27" s="1"/>
      <c r="G27" s="1"/>
      <c r="H27" s="1"/>
      <c r="I27" s="7"/>
      <c r="J27" s="5" t="str">
        <f>IF(H27="Estándar",'Costos y metas'!$B$14,IF(H27="Premium",'Costos y metas'!$B$15,IF(H27="Pack 2 Estándar",'Costos y metas'!$G$42,IF(H27="Pack mixto",'Costos y metas'!$G$43,""))))</f>
        <v/>
      </c>
      <c r="K27" s="5" t="str">
        <f t="shared" si="0"/>
        <v/>
      </c>
      <c r="L27" s="5" t="str">
        <f>IF(H27="Estándar",I27*'Costos y metas'!$E$26,IF(H27="Premium",I27*'Costos y metas'!$E$27,IF(H27="Pack 2 Estándar",I27*2*'Costos y metas'!$E$26,IF(H27="Pack mixto",I27*('Costos y metas'!$E$26+'Costos y metas'!$E$27),""))))</f>
        <v/>
      </c>
      <c r="M27" s="5" t="str">
        <f t="shared" si="1"/>
        <v/>
      </c>
      <c r="N27" s="1"/>
      <c r="O27" s="11"/>
      <c r="P27" s="56"/>
    </row>
    <row r="28" spans="1:16">
      <c r="A28" s="55"/>
      <c r="B28" s="1"/>
      <c r="C28" s="1"/>
      <c r="D28" s="1"/>
      <c r="E28" s="1"/>
      <c r="F28" s="1"/>
      <c r="G28" s="1"/>
      <c r="H28" s="1"/>
      <c r="I28" s="7"/>
      <c r="J28" s="5" t="str">
        <f>IF(H28="Estándar",'Costos y metas'!$B$14,IF(H28="Premium",'Costos y metas'!$B$15,IF(H28="Pack 2 Estándar",'Costos y metas'!$G$42,IF(H28="Pack mixto",'Costos y metas'!$G$43,""))))</f>
        <v/>
      </c>
      <c r="K28" s="5" t="str">
        <f t="shared" si="0"/>
        <v/>
      </c>
      <c r="L28" s="5" t="str">
        <f>IF(H28="Estándar",I28*'Costos y metas'!$E$26,IF(H28="Premium",I28*'Costos y metas'!$E$27,IF(H28="Pack 2 Estándar",I28*2*'Costos y metas'!$E$26,IF(H28="Pack mixto",I28*('Costos y metas'!$E$26+'Costos y metas'!$E$27),""))))</f>
        <v/>
      </c>
      <c r="M28" s="5" t="str">
        <f t="shared" si="1"/>
        <v/>
      </c>
      <c r="N28" s="1"/>
      <c r="O28" s="11"/>
      <c r="P28" s="56"/>
    </row>
    <row r="29" spans="1:16">
      <c r="A29" s="55"/>
      <c r="B29" s="1"/>
      <c r="C29" s="1"/>
      <c r="D29" s="1"/>
      <c r="E29" s="1"/>
      <c r="F29" s="1"/>
      <c r="G29" s="1"/>
      <c r="H29" s="1"/>
      <c r="I29" s="7"/>
      <c r="J29" s="5" t="str">
        <f>IF(H29="Estándar",'Costos y metas'!$B$14,IF(H29="Premium",'Costos y metas'!$B$15,IF(H29="Pack 2 Estándar",'Costos y metas'!$G$42,IF(H29="Pack mixto",'Costos y metas'!$G$43,""))))</f>
        <v/>
      </c>
      <c r="K29" s="5" t="str">
        <f t="shared" si="0"/>
        <v/>
      </c>
      <c r="L29" s="5" t="str">
        <f>IF(H29="Estándar",I29*'Costos y metas'!$E$26,IF(H29="Premium",I29*'Costos y metas'!$E$27,IF(H29="Pack 2 Estándar",I29*2*'Costos y metas'!$E$26,IF(H29="Pack mixto",I29*('Costos y metas'!$E$26+'Costos y metas'!$E$27),""))))</f>
        <v/>
      </c>
      <c r="M29" s="5" t="str">
        <f t="shared" si="1"/>
        <v/>
      </c>
      <c r="N29" s="1"/>
      <c r="O29" s="11"/>
      <c r="P29" s="56"/>
    </row>
    <row r="30" spans="1:16">
      <c r="A30" s="55"/>
      <c r="B30" s="1"/>
      <c r="C30" s="1"/>
      <c r="D30" s="1"/>
      <c r="E30" s="1"/>
      <c r="F30" s="1"/>
      <c r="G30" s="1"/>
      <c r="H30" s="1"/>
      <c r="I30" s="7"/>
      <c r="J30" s="5" t="str">
        <f>IF(H30="Estándar",'Costos y metas'!$B$14,IF(H30="Premium",'Costos y metas'!$B$15,IF(H30="Pack 2 Estándar",'Costos y metas'!$G$42,IF(H30="Pack mixto",'Costos y metas'!$G$43,""))))</f>
        <v/>
      </c>
      <c r="K30" s="5" t="str">
        <f t="shared" si="0"/>
        <v/>
      </c>
      <c r="L30" s="5" t="str">
        <f>IF(H30="Estándar",I30*'Costos y metas'!$E$26,IF(H30="Premium",I30*'Costos y metas'!$E$27,IF(H30="Pack 2 Estándar",I30*2*'Costos y metas'!$E$26,IF(H30="Pack mixto",I30*('Costos y metas'!$E$26+'Costos y metas'!$E$27),""))))</f>
        <v/>
      </c>
      <c r="M30" s="5" t="str">
        <f t="shared" si="1"/>
        <v/>
      </c>
      <c r="N30" s="1"/>
      <c r="O30" s="11"/>
      <c r="P30" s="56"/>
    </row>
    <row r="31" spans="1:16">
      <c r="A31" s="55"/>
      <c r="B31" s="1"/>
      <c r="C31" s="1"/>
      <c r="D31" s="1"/>
      <c r="E31" s="1"/>
      <c r="F31" s="1"/>
      <c r="G31" s="1"/>
      <c r="H31" s="1"/>
      <c r="I31" s="7"/>
      <c r="J31" s="5" t="str">
        <f>IF(H31="Estándar",'Costos y metas'!$B$14,IF(H31="Premium",'Costos y metas'!$B$15,IF(H31="Pack 2 Estándar",'Costos y metas'!$G$42,IF(H31="Pack mixto",'Costos y metas'!$G$43,""))))</f>
        <v/>
      </c>
      <c r="K31" s="5" t="str">
        <f t="shared" si="0"/>
        <v/>
      </c>
      <c r="L31" s="5" t="str">
        <f>IF(H31="Estándar",I31*'Costos y metas'!$E$26,IF(H31="Premium",I31*'Costos y metas'!$E$27,IF(H31="Pack 2 Estándar",I31*2*'Costos y metas'!$E$26,IF(H31="Pack mixto",I31*('Costos y metas'!$E$26+'Costos y metas'!$E$27),""))))</f>
        <v/>
      </c>
      <c r="M31" s="5" t="str">
        <f t="shared" si="1"/>
        <v/>
      </c>
      <c r="N31" s="1"/>
      <c r="O31" s="11"/>
      <c r="P31" s="56"/>
    </row>
    <row r="32" spans="1:16">
      <c r="A32" s="55"/>
      <c r="B32" s="1"/>
      <c r="C32" s="1"/>
      <c r="D32" s="1"/>
      <c r="E32" s="1"/>
      <c r="F32" s="1"/>
      <c r="G32" s="1"/>
      <c r="H32" s="1"/>
      <c r="I32" s="7"/>
      <c r="J32" s="5" t="str">
        <f>IF(H32="Estándar",'Costos y metas'!$B$14,IF(H32="Premium",'Costos y metas'!$B$15,IF(H32="Pack 2 Estándar",'Costos y metas'!$G$42,IF(H32="Pack mixto",'Costos y metas'!$G$43,""))))</f>
        <v/>
      </c>
      <c r="K32" s="5" t="str">
        <f t="shared" si="0"/>
        <v/>
      </c>
      <c r="L32" s="5" t="str">
        <f>IF(H32="Estándar",I32*'Costos y metas'!$E$26,IF(H32="Premium",I32*'Costos y metas'!$E$27,IF(H32="Pack 2 Estándar",I32*2*'Costos y metas'!$E$26,IF(H32="Pack mixto",I32*('Costos y metas'!$E$26+'Costos y metas'!$E$27),""))))</f>
        <v/>
      </c>
      <c r="M32" s="5" t="str">
        <f t="shared" si="1"/>
        <v/>
      </c>
      <c r="N32" s="1"/>
      <c r="O32" s="11"/>
      <c r="P32" s="56"/>
    </row>
    <row r="33" spans="1:16">
      <c r="A33" s="55"/>
      <c r="B33" s="1"/>
      <c r="C33" s="1"/>
      <c r="D33" s="1"/>
      <c r="E33" s="1"/>
      <c r="F33" s="1"/>
      <c r="G33" s="1"/>
      <c r="H33" s="1"/>
      <c r="I33" s="7"/>
      <c r="J33" s="5" t="str">
        <f>IF(H33="Estándar",'Costos y metas'!$B$14,IF(H33="Premium",'Costos y metas'!$B$15,IF(H33="Pack 2 Estándar",'Costos y metas'!$G$42,IF(H33="Pack mixto",'Costos y metas'!$G$43,""))))</f>
        <v/>
      </c>
      <c r="K33" s="5" t="str">
        <f t="shared" si="0"/>
        <v/>
      </c>
      <c r="L33" s="5" t="str">
        <f>IF(H33="Estándar",I33*'Costos y metas'!$E$26,IF(H33="Premium",I33*'Costos y metas'!$E$27,IF(H33="Pack 2 Estándar",I33*2*'Costos y metas'!$E$26,IF(H33="Pack mixto",I33*('Costos y metas'!$E$26+'Costos y metas'!$E$27),""))))</f>
        <v/>
      </c>
      <c r="M33" s="5" t="str">
        <f t="shared" si="1"/>
        <v/>
      </c>
      <c r="N33" s="1"/>
      <c r="O33" s="11"/>
      <c r="P33" s="56"/>
    </row>
    <row r="34" spans="1:16">
      <c r="A34" s="55"/>
      <c r="B34" s="1"/>
      <c r="C34" s="1"/>
      <c r="D34" s="1"/>
      <c r="E34" s="1"/>
      <c r="F34" s="1"/>
      <c r="G34" s="1"/>
      <c r="H34" s="1"/>
      <c r="I34" s="7"/>
      <c r="J34" s="5" t="str">
        <f>IF(H34="Estándar",'Costos y metas'!$B$14,IF(H34="Premium",'Costos y metas'!$B$15,IF(H34="Pack 2 Estándar",'Costos y metas'!$G$42,IF(H34="Pack mixto",'Costos y metas'!$G$43,""))))</f>
        <v/>
      </c>
      <c r="K34" s="5" t="str">
        <f t="shared" si="0"/>
        <v/>
      </c>
      <c r="L34" s="5" t="str">
        <f>IF(H34="Estándar",I34*'Costos y metas'!$E$26,IF(H34="Premium",I34*'Costos y metas'!$E$27,IF(H34="Pack 2 Estándar",I34*2*'Costos y metas'!$E$26,IF(H34="Pack mixto",I34*('Costos y metas'!$E$26+'Costos y metas'!$E$27),""))))</f>
        <v/>
      </c>
      <c r="M34" s="5" t="str">
        <f t="shared" si="1"/>
        <v/>
      </c>
      <c r="N34" s="1"/>
      <c r="O34" s="11"/>
      <c r="P34" s="56"/>
    </row>
    <row r="35" spans="1:16">
      <c r="A35" s="55"/>
      <c r="B35" s="1"/>
      <c r="C35" s="1"/>
      <c r="D35" s="1"/>
      <c r="E35" s="1"/>
      <c r="F35" s="1"/>
      <c r="G35" s="1"/>
      <c r="H35" s="1"/>
      <c r="I35" s="7"/>
      <c r="J35" s="5" t="str">
        <f>IF(H35="Estándar",'Costos y metas'!$B$14,IF(H35="Premium",'Costos y metas'!$B$15,IF(H35="Pack 2 Estándar",'Costos y metas'!$G$42,IF(H35="Pack mixto",'Costos y metas'!$G$43,""))))</f>
        <v/>
      </c>
      <c r="K35" s="5" t="str">
        <f t="shared" si="0"/>
        <v/>
      </c>
      <c r="L35" s="5" t="str">
        <f>IF(H35="Estándar",I35*'Costos y metas'!$E$26,IF(H35="Premium",I35*'Costos y metas'!$E$27,IF(H35="Pack 2 Estándar",I35*2*'Costos y metas'!$E$26,IF(H35="Pack mixto",I35*('Costos y metas'!$E$26+'Costos y metas'!$E$27),""))))</f>
        <v/>
      </c>
      <c r="M35" s="5" t="str">
        <f t="shared" si="1"/>
        <v/>
      </c>
      <c r="N35" s="1"/>
      <c r="O35" s="11"/>
      <c r="P35" s="56"/>
    </row>
    <row r="36" spans="1:16">
      <c r="A36" s="55"/>
      <c r="B36" s="1"/>
      <c r="C36" s="1"/>
      <c r="D36" s="1"/>
      <c r="E36" s="1"/>
      <c r="F36" s="1"/>
      <c r="G36" s="1"/>
      <c r="H36" s="1"/>
      <c r="I36" s="7"/>
      <c r="J36" s="5" t="str">
        <f>IF(H36="Estándar",'Costos y metas'!$B$14,IF(H36="Premium",'Costos y metas'!$B$15,IF(H36="Pack 2 Estándar",'Costos y metas'!$G$42,IF(H36="Pack mixto",'Costos y metas'!$G$43,""))))</f>
        <v/>
      </c>
      <c r="K36" s="5" t="str">
        <f t="shared" si="0"/>
        <v/>
      </c>
      <c r="L36" s="5" t="str">
        <f>IF(H36="Estándar",I36*'Costos y metas'!$E$26,IF(H36="Premium",I36*'Costos y metas'!$E$27,IF(H36="Pack 2 Estándar",I36*2*'Costos y metas'!$E$26,IF(H36="Pack mixto",I36*('Costos y metas'!$E$26+'Costos y metas'!$E$27),""))))</f>
        <v/>
      </c>
      <c r="M36" s="5" t="str">
        <f t="shared" si="1"/>
        <v/>
      </c>
      <c r="N36" s="1"/>
      <c r="O36" s="11"/>
      <c r="P36" s="56"/>
    </row>
    <row r="37" spans="1:16">
      <c r="A37" s="55"/>
      <c r="B37" s="1"/>
      <c r="C37" s="1"/>
      <c r="D37" s="1"/>
      <c r="E37" s="1"/>
      <c r="F37" s="1"/>
      <c r="G37" s="1"/>
      <c r="H37" s="1"/>
      <c r="I37" s="7"/>
      <c r="J37" s="5" t="str">
        <f>IF(H37="Estándar",'Costos y metas'!$B$14,IF(H37="Premium",'Costos y metas'!$B$15,IF(H37="Pack 2 Estándar",'Costos y metas'!$G$42,IF(H37="Pack mixto",'Costos y metas'!$G$43,""))))</f>
        <v/>
      </c>
      <c r="K37" s="5" t="str">
        <f t="shared" si="0"/>
        <v/>
      </c>
      <c r="L37" s="5" t="str">
        <f>IF(H37="Estándar",I37*'Costos y metas'!$E$26,IF(H37="Premium",I37*'Costos y metas'!$E$27,IF(H37="Pack 2 Estándar",I37*2*'Costos y metas'!$E$26,IF(H37="Pack mixto",I37*('Costos y metas'!$E$26+'Costos y metas'!$E$27),""))))</f>
        <v/>
      </c>
      <c r="M37" s="5" t="str">
        <f t="shared" si="1"/>
        <v/>
      </c>
      <c r="N37" s="1"/>
      <c r="O37" s="11"/>
      <c r="P37" s="56"/>
    </row>
    <row r="38" spans="1:16">
      <c r="A38" s="55"/>
      <c r="B38" s="1"/>
      <c r="C38" s="1"/>
      <c r="D38" s="1"/>
      <c r="E38" s="1"/>
      <c r="F38" s="1"/>
      <c r="G38" s="1"/>
      <c r="H38" s="1"/>
      <c r="I38" s="7"/>
      <c r="J38" s="5" t="str">
        <f>IF(H38="Estándar",'Costos y metas'!$B$14,IF(H38="Premium",'Costos y metas'!$B$15,IF(H38="Pack 2 Estándar",'Costos y metas'!$G$42,IF(H38="Pack mixto",'Costos y metas'!$G$43,""))))</f>
        <v/>
      </c>
      <c r="K38" s="5" t="str">
        <f t="shared" ref="K38:K69" si="2">IF(OR(I38="",J38=""),"",I38*J38)</f>
        <v/>
      </c>
      <c r="L38" s="5" t="str">
        <f>IF(H38="Estándar",I38*'Costos y metas'!$E$26,IF(H38="Premium",I38*'Costos y metas'!$E$27,IF(H38="Pack 2 Estándar",I38*2*'Costos y metas'!$E$26,IF(H38="Pack mixto",I38*('Costos y metas'!$E$26+'Costos y metas'!$E$27),""))))</f>
        <v/>
      </c>
      <c r="M38" s="5" t="str">
        <f t="shared" ref="M38:M69" si="3">IF(OR(K38="",L38=""),"",K38-L38)</f>
        <v/>
      </c>
      <c r="N38" s="1"/>
      <c r="O38" s="11"/>
      <c r="P38" s="56"/>
    </row>
    <row r="39" spans="1:16">
      <c r="A39" s="55"/>
      <c r="B39" s="1"/>
      <c r="C39" s="1"/>
      <c r="D39" s="1"/>
      <c r="E39" s="1"/>
      <c r="F39" s="1"/>
      <c r="G39" s="1"/>
      <c r="H39" s="1"/>
      <c r="I39" s="7"/>
      <c r="J39" s="5" t="str">
        <f>IF(H39="Estándar",'Costos y metas'!$B$14,IF(H39="Premium",'Costos y metas'!$B$15,IF(H39="Pack 2 Estándar",'Costos y metas'!$G$42,IF(H39="Pack mixto",'Costos y metas'!$G$43,""))))</f>
        <v/>
      </c>
      <c r="K39" s="5" t="str">
        <f t="shared" si="2"/>
        <v/>
      </c>
      <c r="L39" s="5" t="str">
        <f>IF(H39="Estándar",I39*'Costos y metas'!$E$26,IF(H39="Premium",I39*'Costos y metas'!$E$27,IF(H39="Pack 2 Estándar",I39*2*'Costos y metas'!$E$26,IF(H39="Pack mixto",I39*('Costos y metas'!$E$26+'Costos y metas'!$E$27),""))))</f>
        <v/>
      </c>
      <c r="M39" s="5" t="str">
        <f t="shared" si="3"/>
        <v/>
      </c>
      <c r="N39" s="1"/>
      <c r="O39" s="11"/>
      <c r="P39" s="56"/>
    </row>
    <row r="40" spans="1:16">
      <c r="A40" s="55"/>
      <c r="B40" s="1"/>
      <c r="C40" s="1"/>
      <c r="D40" s="1"/>
      <c r="E40" s="1"/>
      <c r="F40" s="1"/>
      <c r="G40" s="1"/>
      <c r="H40" s="1"/>
      <c r="I40" s="7"/>
      <c r="J40" s="5" t="str">
        <f>IF(H40="Estándar",'Costos y metas'!$B$14,IF(H40="Premium",'Costos y metas'!$B$15,IF(H40="Pack 2 Estándar",'Costos y metas'!$G$42,IF(H40="Pack mixto",'Costos y metas'!$G$43,""))))</f>
        <v/>
      </c>
      <c r="K40" s="5" t="str">
        <f t="shared" si="2"/>
        <v/>
      </c>
      <c r="L40" s="5" t="str">
        <f>IF(H40="Estándar",I40*'Costos y metas'!$E$26,IF(H40="Premium",I40*'Costos y metas'!$E$27,IF(H40="Pack 2 Estándar",I40*2*'Costos y metas'!$E$26,IF(H40="Pack mixto",I40*('Costos y metas'!$E$26+'Costos y metas'!$E$27),""))))</f>
        <v/>
      </c>
      <c r="M40" s="5" t="str">
        <f t="shared" si="3"/>
        <v/>
      </c>
      <c r="N40" s="1"/>
      <c r="O40" s="11"/>
      <c r="P40" s="56"/>
    </row>
    <row r="41" spans="1:16">
      <c r="A41" s="55"/>
      <c r="B41" s="1"/>
      <c r="C41" s="1"/>
      <c r="D41" s="1"/>
      <c r="E41" s="1"/>
      <c r="F41" s="1"/>
      <c r="G41" s="1"/>
      <c r="H41" s="1"/>
      <c r="I41" s="7"/>
      <c r="J41" s="5" t="str">
        <f>IF(H41="Estándar",'Costos y metas'!$B$14,IF(H41="Premium",'Costos y metas'!$B$15,IF(H41="Pack 2 Estándar",'Costos y metas'!$G$42,IF(H41="Pack mixto",'Costos y metas'!$G$43,""))))</f>
        <v/>
      </c>
      <c r="K41" s="5" t="str">
        <f t="shared" si="2"/>
        <v/>
      </c>
      <c r="L41" s="5" t="str">
        <f>IF(H41="Estándar",I41*'Costos y metas'!$E$26,IF(H41="Premium",I41*'Costos y metas'!$E$27,IF(H41="Pack 2 Estándar",I41*2*'Costos y metas'!$E$26,IF(H41="Pack mixto",I41*('Costos y metas'!$E$26+'Costos y metas'!$E$27),""))))</f>
        <v/>
      </c>
      <c r="M41" s="5" t="str">
        <f t="shared" si="3"/>
        <v/>
      </c>
      <c r="N41" s="1"/>
      <c r="O41" s="11"/>
      <c r="P41" s="56"/>
    </row>
    <row r="42" spans="1:16">
      <c r="A42" s="55"/>
      <c r="B42" s="1"/>
      <c r="C42" s="1"/>
      <c r="D42" s="1"/>
      <c r="E42" s="1"/>
      <c r="F42" s="1"/>
      <c r="G42" s="1"/>
      <c r="H42" s="1"/>
      <c r="I42" s="7"/>
      <c r="J42" s="5" t="str">
        <f>IF(H42="Estándar",'Costos y metas'!$B$14,IF(H42="Premium",'Costos y metas'!$B$15,IF(H42="Pack 2 Estándar",'Costos y metas'!$G$42,IF(H42="Pack mixto",'Costos y metas'!$G$43,""))))</f>
        <v/>
      </c>
      <c r="K42" s="5" t="str">
        <f t="shared" si="2"/>
        <v/>
      </c>
      <c r="L42" s="5" t="str">
        <f>IF(H42="Estándar",I42*'Costos y metas'!$E$26,IF(H42="Premium",I42*'Costos y metas'!$E$27,IF(H42="Pack 2 Estándar",I42*2*'Costos y metas'!$E$26,IF(H42="Pack mixto",I42*('Costos y metas'!$E$26+'Costos y metas'!$E$27),""))))</f>
        <v/>
      </c>
      <c r="M42" s="5" t="str">
        <f t="shared" si="3"/>
        <v/>
      </c>
      <c r="N42" s="1"/>
      <c r="O42" s="11"/>
      <c r="P42" s="56"/>
    </row>
    <row r="43" spans="1:16">
      <c r="A43" s="55"/>
      <c r="B43" s="1"/>
      <c r="C43" s="1"/>
      <c r="D43" s="1"/>
      <c r="E43" s="1"/>
      <c r="F43" s="1"/>
      <c r="G43" s="1"/>
      <c r="H43" s="1"/>
      <c r="I43" s="7"/>
      <c r="J43" s="5" t="str">
        <f>IF(H43="Estándar",'Costos y metas'!$B$14,IF(H43="Premium",'Costos y metas'!$B$15,IF(H43="Pack 2 Estándar",'Costos y metas'!$G$42,IF(H43="Pack mixto",'Costos y metas'!$G$43,""))))</f>
        <v/>
      </c>
      <c r="K43" s="5" t="str">
        <f t="shared" si="2"/>
        <v/>
      </c>
      <c r="L43" s="5" t="str">
        <f>IF(H43="Estándar",I43*'Costos y metas'!$E$26,IF(H43="Premium",I43*'Costos y metas'!$E$27,IF(H43="Pack 2 Estándar",I43*2*'Costos y metas'!$E$26,IF(H43="Pack mixto",I43*('Costos y metas'!$E$26+'Costos y metas'!$E$27),""))))</f>
        <v/>
      </c>
      <c r="M43" s="5" t="str">
        <f t="shared" si="3"/>
        <v/>
      </c>
      <c r="N43" s="1"/>
      <c r="O43" s="11"/>
      <c r="P43" s="56"/>
    </row>
    <row r="44" spans="1:16">
      <c r="A44" s="55"/>
      <c r="B44" s="1"/>
      <c r="C44" s="1"/>
      <c r="D44" s="1"/>
      <c r="E44" s="1"/>
      <c r="F44" s="1"/>
      <c r="G44" s="1"/>
      <c r="H44" s="1"/>
      <c r="I44" s="7"/>
      <c r="J44" s="5" t="str">
        <f>IF(H44="Estándar",'Costos y metas'!$B$14,IF(H44="Premium",'Costos y metas'!$B$15,IF(H44="Pack 2 Estándar",'Costos y metas'!$G$42,IF(H44="Pack mixto",'Costos y metas'!$G$43,""))))</f>
        <v/>
      </c>
      <c r="K44" s="5" t="str">
        <f t="shared" si="2"/>
        <v/>
      </c>
      <c r="L44" s="5" t="str">
        <f>IF(H44="Estándar",I44*'Costos y metas'!$E$26,IF(H44="Premium",I44*'Costos y metas'!$E$27,IF(H44="Pack 2 Estándar",I44*2*'Costos y metas'!$E$26,IF(H44="Pack mixto",I44*('Costos y metas'!$E$26+'Costos y metas'!$E$27),""))))</f>
        <v/>
      </c>
      <c r="M44" s="5" t="str">
        <f t="shared" si="3"/>
        <v/>
      </c>
      <c r="N44" s="1"/>
      <c r="O44" s="11"/>
      <c r="P44" s="56"/>
    </row>
    <row r="45" spans="1:16">
      <c r="A45" s="55"/>
      <c r="B45" s="1"/>
      <c r="C45" s="1"/>
      <c r="D45" s="1"/>
      <c r="E45" s="1"/>
      <c r="F45" s="1"/>
      <c r="G45" s="1"/>
      <c r="H45" s="1"/>
      <c r="I45" s="7"/>
      <c r="J45" s="5" t="str">
        <f>IF(H45="Estándar",'Costos y metas'!$B$14,IF(H45="Premium",'Costos y metas'!$B$15,IF(H45="Pack 2 Estándar",'Costos y metas'!$G$42,IF(H45="Pack mixto",'Costos y metas'!$G$43,""))))</f>
        <v/>
      </c>
      <c r="K45" s="5" t="str">
        <f t="shared" si="2"/>
        <v/>
      </c>
      <c r="L45" s="5" t="str">
        <f>IF(H45="Estándar",I45*'Costos y metas'!$E$26,IF(H45="Premium",I45*'Costos y metas'!$E$27,IF(H45="Pack 2 Estándar",I45*2*'Costos y metas'!$E$26,IF(H45="Pack mixto",I45*('Costos y metas'!$E$26+'Costos y metas'!$E$27),""))))</f>
        <v/>
      </c>
      <c r="M45" s="5" t="str">
        <f t="shared" si="3"/>
        <v/>
      </c>
      <c r="N45" s="1"/>
      <c r="O45" s="11"/>
      <c r="P45" s="56"/>
    </row>
    <row r="46" spans="1:16">
      <c r="A46" s="55"/>
      <c r="B46" s="1"/>
      <c r="C46" s="1"/>
      <c r="D46" s="1"/>
      <c r="E46" s="1"/>
      <c r="F46" s="1"/>
      <c r="G46" s="1"/>
      <c r="H46" s="1"/>
      <c r="I46" s="7"/>
      <c r="J46" s="5" t="str">
        <f>IF(H46="Estándar",'Costos y metas'!$B$14,IF(H46="Premium",'Costos y metas'!$B$15,IF(H46="Pack 2 Estándar",'Costos y metas'!$G$42,IF(H46="Pack mixto",'Costos y metas'!$G$43,""))))</f>
        <v/>
      </c>
      <c r="K46" s="5" t="str">
        <f t="shared" si="2"/>
        <v/>
      </c>
      <c r="L46" s="5" t="str">
        <f>IF(H46="Estándar",I46*'Costos y metas'!$E$26,IF(H46="Premium",I46*'Costos y metas'!$E$27,IF(H46="Pack 2 Estándar",I46*2*'Costos y metas'!$E$26,IF(H46="Pack mixto",I46*('Costos y metas'!$E$26+'Costos y metas'!$E$27),""))))</f>
        <v/>
      </c>
      <c r="M46" s="5" t="str">
        <f t="shared" si="3"/>
        <v/>
      </c>
      <c r="N46" s="1"/>
      <c r="O46" s="11"/>
      <c r="P46" s="56"/>
    </row>
    <row r="47" spans="1:16">
      <c r="A47" s="55"/>
      <c r="B47" s="1"/>
      <c r="C47" s="1"/>
      <c r="D47" s="1"/>
      <c r="E47" s="1"/>
      <c r="F47" s="1"/>
      <c r="G47" s="1"/>
      <c r="H47" s="1"/>
      <c r="I47" s="7"/>
      <c r="J47" s="5" t="str">
        <f>IF(H47="Estándar",'Costos y metas'!$B$14,IF(H47="Premium",'Costos y metas'!$B$15,IF(H47="Pack 2 Estándar",'Costos y metas'!$G$42,IF(H47="Pack mixto",'Costos y metas'!$G$43,""))))</f>
        <v/>
      </c>
      <c r="K47" s="5" t="str">
        <f t="shared" si="2"/>
        <v/>
      </c>
      <c r="L47" s="5" t="str">
        <f>IF(H47="Estándar",I47*'Costos y metas'!$E$26,IF(H47="Premium",I47*'Costos y metas'!$E$27,IF(H47="Pack 2 Estándar",I47*2*'Costos y metas'!$E$26,IF(H47="Pack mixto",I47*('Costos y metas'!$E$26+'Costos y metas'!$E$27),""))))</f>
        <v/>
      </c>
      <c r="M47" s="5" t="str">
        <f t="shared" si="3"/>
        <v/>
      </c>
      <c r="N47" s="1"/>
      <c r="O47" s="11"/>
      <c r="P47" s="56"/>
    </row>
    <row r="48" spans="1:16">
      <c r="A48" s="55"/>
      <c r="B48" s="1"/>
      <c r="C48" s="1"/>
      <c r="D48" s="1"/>
      <c r="E48" s="1"/>
      <c r="F48" s="1"/>
      <c r="G48" s="1"/>
      <c r="H48" s="1"/>
      <c r="I48" s="7"/>
      <c r="J48" s="5" t="str">
        <f>IF(H48="Estándar",'Costos y metas'!$B$14,IF(H48="Premium",'Costos y metas'!$B$15,IF(H48="Pack 2 Estándar",'Costos y metas'!$G$42,IF(H48="Pack mixto",'Costos y metas'!$G$43,""))))</f>
        <v/>
      </c>
      <c r="K48" s="5" t="str">
        <f t="shared" si="2"/>
        <v/>
      </c>
      <c r="L48" s="5" t="str">
        <f>IF(H48="Estándar",I48*'Costos y metas'!$E$26,IF(H48="Premium",I48*'Costos y metas'!$E$27,IF(H48="Pack 2 Estándar",I48*2*'Costos y metas'!$E$26,IF(H48="Pack mixto",I48*('Costos y metas'!$E$26+'Costos y metas'!$E$27),""))))</f>
        <v/>
      </c>
      <c r="M48" s="5" t="str">
        <f t="shared" si="3"/>
        <v/>
      </c>
      <c r="N48" s="1"/>
      <c r="O48" s="11"/>
      <c r="P48" s="56"/>
    </row>
    <row r="49" spans="1:16">
      <c r="A49" s="55"/>
      <c r="B49" s="1"/>
      <c r="C49" s="1"/>
      <c r="D49" s="1"/>
      <c r="E49" s="1"/>
      <c r="F49" s="1"/>
      <c r="G49" s="1"/>
      <c r="H49" s="1"/>
      <c r="I49" s="7"/>
      <c r="J49" s="5" t="str">
        <f>IF(H49="Estándar",'Costos y metas'!$B$14,IF(H49="Premium",'Costos y metas'!$B$15,IF(H49="Pack 2 Estándar",'Costos y metas'!$G$42,IF(H49="Pack mixto",'Costos y metas'!$G$43,""))))</f>
        <v/>
      </c>
      <c r="K49" s="5" t="str">
        <f t="shared" si="2"/>
        <v/>
      </c>
      <c r="L49" s="5" t="str">
        <f>IF(H49="Estándar",I49*'Costos y metas'!$E$26,IF(H49="Premium",I49*'Costos y metas'!$E$27,IF(H49="Pack 2 Estándar",I49*2*'Costos y metas'!$E$26,IF(H49="Pack mixto",I49*('Costos y metas'!$E$26+'Costos y metas'!$E$27),""))))</f>
        <v/>
      </c>
      <c r="M49" s="5" t="str">
        <f t="shared" si="3"/>
        <v/>
      </c>
      <c r="N49" s="1"/>
      <c r="O49" s="11"/>
      <c r="P49" s="56"/>
    </row>
    <row r="50" spans="1:16">
      <c r="A50" s="55"/>
      <c r="B50" s="1"/>
      <c r="C50" s="1"/>
      <c r="D50" s="1"/>
      <c r="E50" s="1"/>
      <c r="F50" s="1"/>
      <c r="G50" s="1"/>
      <c r="H50" s="1"/>
      <c r="I50" s="7"/>
      <c r="J50" s="5" t="str">
        <f>IF(H50="Estándar",'Costos y metas'!$B$14,IF(H50="Premium",'Costos y metas'!$B$15,IF(H50="Pack 2 Estándar",'Costos y metas'!$G$42,IF(H50="Pack mixto",'Costos y metas'!$G$43,""))))</f>
        <v/>
      </c>
      <c r="K50" s="5" t="str">
        <f t="shared" si="2"/>
        <v/>
      </c>
      <c r="L50" s="5" t="str">
        <f>IF(H50="Estándar",I50*'Costos y metas'!$E$26,IF(H50="Premium",I50*'Costos y metas'!$E$27,IF(H50="Pack 2 Estándar",I50*2*'Costos y metas'!$E$26,IF(H50="Pack mixto",I50*('Costos y metas'!$E$26+'Costos y metas'!$E$27),""))))</f>
        <v/>
      </c>
      <c r="M50" s="5" t="str">
        <f t="shared" si="3"/>
        <v/>
      </c>
      <c r="N50" s="1"/>
      <c r="O50" s="11"/>
      <c r="P50" s="56"/>
    </row>
    <row r="51" spans="1:16">
      <c r="A51" s="55"/>
      <c r="B51" s="1"/>
      <c r="C51" s="1"/>
      <c r="D51" s="1"/>
      <c r="E51" s="1"/>
      <c r="F51" s="1"/>
      <c r="G51" s="1"/>
      <c r="H51" s="1"/>
      <c r="I51" s="7"/>
      <c r="J51" s="5" t="str">
        <f>IF(H51="Estándar",'Costos y metas'!$B$14,IF(H51="Premium",'Costos y metas'!$B$15,IF(H51="Pack 2 Estándar",'Costos y metas'!$G$42,IF(H51="Pack mixto",'Costos y metas'!$G$43,""))))</f>
        <v/>
      </c>
      <c r="K51" s="5" t="str">
        <f t="shared" si="2"/>
        <v/>
      </c>
      <c r="L51" s="5" t="str">
        <f>IF(H51="Estándar",I51*'Costos y metas'!$E$26,IF(H51="Premium",I51*'Costos y metas'!$E$27,IF(H51="Pack 2 Estándar",I51*2*'Costos y metas'!$E$26,IF(H51="Pack mixto",I51*('Costos y metas'!$E$26+'Costos y metas'!$E$27),""))))</f>
        <v/>
      </c>
      <c r="M51" s="5" t="str">
        <f t="shared" si="3"/>
        <v/>
      </c>
      <c r="N51" s="1"/>
      <c r="O51" s="11"/>
      <c r="P51" s="56"/>
    </row>
    <row r="52" spans="1:16">
      <c r="A52" s="55"/>
      <c r="B52" s="1"/>
      <c r="C52" s="1"/>
      <c r="D52" s="1"/>
      <c r="E52" s="1"/>
      <c r="F52" s="1"/>
      <c r="G52" s="1"/>
      <c r="H52" s="1"/>
      <c r="I52" s="7"/>
      <c r="J52" s="5" t="str">
        <f>IF(H52="Estándar",'Costos y metas'!$B$14,IF(H52="Premium",'Costos y metas'!$B$15,IF(H52="Pack 2 Estándar",'Costos y metas'!$G$42,IF(H52="Pack mixto",'Costos y metas'!$G$43,""))))</f>
        <v/>
      </c>
      <c r="K52" s="5" t="str">
        <f t="shared" si="2"/>
        <v/>
      </c>
      <c r="L52" s="5" t="str">
        <f>IF(H52="Estándar",I52*'Costos y metas'!$E$26,IF(H52="Premium",I52*'Costos y metas'!$E$27,IF(H52="Pack 2 Estándar",I52*2*'Costos y metas'!$E$26,IF(H52="Pack mixto",I52*('Costos y metas'!$E$26+'Costos y metas'!$E$27),""))))</f>
        <v/>
      </c>
      <c r="M52" s="5" t="str">
        <f t="shared" si="3"/>
        <v/>
      </c>
      <c r="N52" s="1"/>
      <c r="O52" s="11"/>
      <c r="P52" s="56"/>
    </row>
    <row r="53" spans="1:16">
      <c r="A53" s="55"/>
      <c r="B53" s="1"/>
      <c r="C53" s="1"/>
      <c r="D53" s="1"/>
      <c r="E53" s="1"/>
      <c r="F53" s="1"/>
      <c r="G53" s="1"/>
      <c r="H53" s="1"/>
      <c r="I53" s="7"/>
      <c r="J53" s="5" t="str">
        <f>IF(H53="Estándar",'Costos y metas'!$B$14,IF(H53="Premium",'Costos y metas'!$B$15,IF(H53="Pack 2 Estándar",'Costos y metas'!$G$42,IF(H53="Pack mixto",'Costos y metas'!$G$43,""))))</f>
        <v/>
      </c>
      <c r="K53" s="5" t="str">
        <f t="shared" si="2"/>
        <v/>
      </c>
      <c r="L53" s="5" t="str">
        <f>IF(H53="Estándar",I53*'Costos y metas'!$E$26,IF(H53="Premium",I53*'Costos y metas'!$E$27,IF(H53="Pack 2 Estándar",I53*2*'Costos y metas'!$E$26,IF(H53="Pack mixto",I53*('Costos y metas'!$E$26+'Costos y metas'!$E$27),""))))</f>
        <v/>
      </c>
      <c r="M53" s="5" t="str">
        <f t="shared" si="3"/>
        <v/>
      </c>
      <c r="N53" s="1"/>
      <c r="O53" s="11"/>
      <c r="P53" s="56"/>
    </row>
    <row r="54" spans="1:16">
      <c r="A54" s="55"/>
      <c r="B54" s="1"/>
      <c r="C54" s="1"/>
      <c r="D54" s="1"/>
      <c r="E54" s="1"/>
      <c r="F54" s="1"/>
      <c r="G54" s="1"/>
      <c r="H54" s="1"/>
      <c r="I54" s="7"/>
      <c r="J54" s="5" t="str">
        <f>IF(H54="Estándar",'Costos y metas'!$B$14,IF(H54="Premium",'Costos y metas'!$B$15,IF(H54="Pack 2 Estándar",'Costos y metas'!$G$42,IF(H54="Pack mixto",'Costos y metas'!$G$43,""))))</f>
        <v/>
      </c>
      <c r="K54" s="5" t="str">
        <f t="shared" si="2"/>
        <v/>
      </c>
      <c r="L54" s="5" t="str">
        <f>IF(H54="Estándar",I54*'Costos y metas'!$E$26,IF(H54="Premium",I54*'Costos y metas'!$E$27,IF(H54="Pack 2 Estándar",I54*2*'Costos y metas'!$E$26,IF(H54="Pack mixto",I54*('Costos y metas'!$E$26+'Costos y metas'!$E$27),""))))</f>
        <v/>
      </c>
      <c r="M54" s="5" t="str">
        <f t="shared" si="3"/>
        <v/>
      </c>
      <c r="N54" s="1"/>
      <c r="O54" s="11"/>
      <c r="P54" s="56"/>
    </row>
    <row r="55" spans="1:16">
      <c r="A55" s="55"/>
      <c r="B55" s="1"/>
      <c r="C55" s="1"/>
      <c r="D55" s="1"/>
      <c r="E55" s="1"/>
      <c r="F55" s="1"/>
      <c r="G55" s="1"/>
      <c r="H55" s="1"/>
      <c r="I55" s="7"/>
      <c r="J55" s="5" t="str">
        <f>IF(H55="Estándar",'Costos y metas'!$B$14,IF(H55="Premium",'Costos y metas'!$B$15,IF(H55="Pack 2 Estándar",'Costos y metas'!$G$42,IF(H55="Pack mixto",'Costos y metas'!$G$43,""))))</f>
        <v/>
      </c>
      <c r="K55" s="5" t="str">
        <f t="shared" si="2"/>
        <v/>
      </c>
      <c r="L55" s="5" t="str">
        <f>IF(H55="Estándar",I55*'Costos y metas'!$E$26,IF(H55="Premium",I55*'Costos y metas'!$E$27,IF(H55="Pack 2 Estándar",I55*2*'Costos y metas'!$E$26,IF(H55="Pack mixto",I55*('Costos y metas'!$E$26+'Costos y metas'!$E$27),""))))</f>
        <v/>
      </c>
      <c r="M55" s="5" t="str">
        <f t="shared" si="3"/>
        <v/>
      </c>
      <c r="N55" s="1"/>
      <c r="O55" s="11"/>
      <c r="P55" s="56"/>
    </row>
    <row r="56" spans="1:16">
      <c r="A56" s="55"/>
      <c r="B56" s="1"/>
      <c r="C56" s="1"/>
      <c r="D56" s="1"/>
      <c r="E56" s="1"/>
      <c r="F56" s="1"/>
      <c r="G56" s="1"/>
      <c r="H56" s="1"/>
      <c r="I56" s="7"/>
      <c r="J56" s="5" t="str">
        <f>IF(H56="Estándar",'Costos y metas'!$B$14,IF(H56="Premium",'Costos y metas'!$B$15,IF(H56="Pack 2 Estándar",'Costos y metas'!$G$42,IF(H56="Pack mixto",'Costos y metas'!$G$43,""))))</f>
        <v/>
      </c>
      <c r="K56" s="5" t="str">
        <f t="shared" si="2"/>
        <v/>
      </c>
      <c r="L56" s="5" t="str">
        <f>IF(H56="Estándar",I56*'Costos y metas'!$E$26,IF(H56="Premium",I56*'Costos y metas'!$E$27,IF(H56="Pack 2 Estándar",I56*2*'Costos y metas'!$E$26,IF(H56="Pack mixto",I56*('Costos y metas'!$E$26+'Costos y metas'!$E$27),""))))</f>
        <v/>
      </c>
      <c r="M56" s="5" t="str">
        <f t="shared" si="3"/>
        <v/>
      </c>
      <c r="N56" s="1"/>
      <c r="O56" s="11"/>
      <c r="P56" s="56"/>
    </row>
    <row r="57" spans="1:16">
      <c r="A57" s="55"/>
      <c r="B57" s="1"/>
      <c r="C57" s="1"/>
      <c r="D57" s="1"/>
      <c r="E57" s="1"/>
      <c r="F57" s="1"/>
      <c r="G57" s="1"/>
      <c r="H57" s="1"/>
      <c r="I57" s="7"/>
      <c r="J57" s="5" t="str">
        <f>IF(H57="Estándar",'Costos y metas'!$B$14,IF(H57="Premium",'Costos y metas'!$B$15,IF(H57="Pack 2 Estándar",'Costos y metas'!$G$42,IF(H57="Pack mixto",'Costos y metas'!$G$43,""))))</f>
        <v/>
      </c>
      <c r="K57" s="5" t="str">
        <f t="shared" si="2"/>
        <v/>
      </c>
      <c r="L57" s="5" t="str">
        <f>IF(H57="Estándar",I57*'Costos y metas'!$E$26,IF(H57="Premium",I57*'Costos y metas'!$E$27,IF(H57="Pack 2 Estándar",I57*2*'Costos y metas'!$E$26,IF(H57="Pack mixto",I57*('Costos y metas'!$E$26+'Costos y metas'!$E$27),""))))</f>
        <v/>
      </c>
      <c r="M57" s="5" t="str">
        <f t="shared" si="3"/>
        <v/>
      </c>
      <c r="N57" s="1"/>
      <c r="O57" s="11"/>
      <c r="P57" s="56"/>
    </row>
    <row r="58" spans="1:16">
      <c r="A58" s="55"/>
      <c r="B58" s="1"/>
      <c r="C58" s="1"/>
      <c r="D58" s="1"/>
      <c r="E58" s="1"/>
      <c r="F58" s="1"/>
      <c r="G58" s="1"/>
      <c r="H58" s="1"/>
      <c r="I58" s="7"/>
      <c r="J58" s="5" t="str">
        <f>IF(H58="Estándar",'Costos y metas'!$B$14,IF(H58="Premium",'Costos y metas'!$B$15,IF(H58="Pack 2 Estándar",'Costos y metas'!$G$42,IF(H58="Pack mixto",'Costos y metas'!$G$43,""))))</f>
        <v/>
      </c>
      <c r="K58" s="5" t="str">
        <f t="shared" si="2"/>
        <v/>
      </c>
      <c r="L58" s="5" t="str">
        <f>IF(H58="Estándar",I58*'Costos y metas'!$E$26,IF(H58="Premium",I58*'Costos y metas'!$E$27,IF(H58="Pack 2 Estándar",I58*2*'Costos y metas'!$E$26,IF(H58="Pack mixto",I58*('Costos y metas'!$E$26+'Costos y metas'!$E$27),""))))</f>
        <v/>
      </c>
      <c r="M58" s="5" t="str">
        <f t="shared" si="3"/>
        <v/>
      </c>
      <c r="N58" s="1"/>
      <c r="O58" s="11"/>
      <c r="P58" s="56"/>
    </row>
    <row r="59" spans="1:16">
      <c r="A59" s="55"/>
      <c r="B59" s="1"/>
      <c r="C59" s="1"/>
      <c r="D59" s="1"/>
      <c r="E59" s="1"/>
      <c r="F59" s="1"/>
      <c r="G59" s="1"/>
      <c r="H59" s="1"/>
      <c r="I59" s="7"/>
      <c r="J59" s="5" t="str">
        <f>IF(H59="Estándar",'Costos y metas'!$B$14,IF(H59="Premium",'Costos y metas'!$B$15,IF(H59="Pack 2 Estándar",'Costos y metas'!$G$42,IF(H59="Pack mixto",'Costos y metas'!$G$43,""))))</f>
        <v/>
      </c>
      <c r="K59" s="5" t="str">
        <f t="shared" si="2"/>
        <v/>
      </c>
      <c r="L59" s="5" t="str">
        <f>IF(H59="Estándar",I59*'Costos y metas'!$E$26,IF(H59="Premium",I59*'Costos y metas'!$E$27,IF(H59="Pack 2 Estándar",I59*2*'Costos y metas'!$E$26,IF(H59="Pack mixto",I59*('Costos y metas'!$E$26+'Costos y metas'!$E$27),""))))</f>
        <v/>
      </c>
      <c r="M59" s="5" t="str">
        <f t="shared" si="3"/>
        <v/>
      </c>
      <c r="N59" s="1"/>
      <c r="O59" s="11"/>
      <c r="P59" s="56"/>
    </row>
    <row r="60" spans="1:16">
      <c r="A60" s="55"/>
      <c r="B60" s="1"/>
      <c r="C60" s="1"/>
      <c r="D60" s="1"/>
      <c r="E60" s="1"/>
      <c r="F60" s="1"/>
      <c r="G60" s="1"/>
      <c r="H60" s="1"/>
      <c r="I60" s="7"/>
      <c r="J60" s="5" t="str">
        <f>IF(H60="Estándar",'Costos y metas'!$B$14,IF(H60="Premium",'Costos y metas'!$B$15,IF(H60="Pack 2 Estándar",'Costos y metas'!$G$42,IF(H60="Pack mixto",'Costos y metas'!$G$43,""))))</f>
        <v/>
      </c>
      <c r="K60" s="5" t="str">
        <f t="shared" si="2"/>
        <v/>
      </c>
      <c r="L60" s="5" t="str">
        <f>IF(H60="Estándar",I60*'Costos y metas'!$E$26,IF(H60="Premium",I60*'Costos y metas'!$E$27,IF(H60="Pack 2 Estándar",I60*2*'Costos y metas'!$E$26,IF(H60="Pack mixto",I60*('Costos y metas'!$E$26+'Costos y metas'!$E$27),""))))</f>
        <v/>
      </c>
      <c r="M60" s="5" t="str">
        <f t="shared" si="3"/>
        <v/>
      </c>
      <c r="N60" s="1"/>
      <c r="O60" s="11"/>
      <c r="P60" s="56"/>
    </row>
    <row r="61" spans="1:16">
      <c r="A61" s="55"/>
      <c r="B61" s="1"/>
      <c r="C61" s="1"/>
      <c r="D61" s="1"/>
      <c r="E61" s="1"/>
      <c r="F61" s="1"/>
      <c r="G61" s="1"/>
      <c r="H61" s="1"/>
      <c r="I61" s="7"/>
      <c r="J61" s="5" t="str">
        <f>IF(H61="Estándar",'Costos y metas'!$B$14,IF(H61="Premium",'Costos y metas'!$B$15,IF(H61="Pack 2 Estándar",'Costos y metas'!$G$42,IF(H61="Pack mixto",'Costos y metas'!$G$43,""))))</f>
        <v/>
      </c>
      <c r="K61" s="5" t="str">
        <f t="shared" si="2"/>
        <v/>
      </c>
      <c r="L61" s="5" t="str">
        <f>IF(H61="Estándar",I61*'Costos y metas'!$E$26,IF(H61="Premium",I61*'Costos y metas'!$E$27,IF(H61="Pack 2 Estándar",I61*2*'Costos y metas'!$E$26,IF(H61="Pack mixto",I61*('Costos y metas'!$E$26+'Costos y metas'!$E$27),""))))</f>
        <v/>
      </c>
      <c r="M61" s="5" t="str">
        <f t="shared" si="3"/>
        <v/>
      </c>
      <c r="N61" s="1"/>
      <c r="O61" s="11"/>
      <c r="P61" s="56"/>
    </row>
    <row r="62" spans="1:16">
      <c r="A62" s="55"/>
      <c r="B62" s="1"/>
      <c r="C62" s="1"/>
      <c r="D62" s="1"/>
      <c r="E62" s="1"/>
      <c r="F62" s="1"/>
      <c r="G62" s="1"/>
      <c r="H62" s="1"/>
      <c r="I62" s="7"/>
      <c r="J62" s="5" t="str">
        <f>IF(H62="Estándar",'Costos y metas'!$B$14,IF(H62="Premium",'Costos y metas'!$B$15,IF(H62="Pack 2 Estándar",'Costos y metas'!$G$42,IF(H62="Pack mixto",'Costos y metas'!$G$43,""))))</f>
        <v/>
      </c>
      <c r="K62" s="5" t="str">
        <f t="shared" si="2"/>
        <v/>
      </c>
      <c r="L62" s="5" t="str">
        <f>IF(H62="Estándar",I62*'Costos y metas'!$E$26,IF(H62="Premium",I62*'Costos y metas'!$E$27,IF(H62="Pack 2 Estándar",I62*2*'Costos y metas'!$E$26,IF(H62="Pack mixto",I62*('Costos y metas'!$E$26+'Costos y metas'!$E$27),""))))</f>
        <v/>
      </c>
      <c r="M62" s="5" t="str">
        <f t="shared" si="3"/>
        <v/>
      </c>
      <c r="N62" s="1"/>
      <c r="O62" s="11"/>
      <c r="P62" s="56"/>
    </row>
    <row r="63" spans="1:16">
      <c r="A63" s="55"/>
      <c r="B63" s="1"/>
      <c r="C63" s="1"/>
      <c r="D63" s="1"/>
      <c r="E63" s="1"/>
      <c r="F63" s="1"/>
      <c r="G63" s="1"/>
      <c r="H63" s="1"/>
      <c r="I63" s="7"/>
      <c r="J63" s="5" t="str">
        <f>IF(H63="Estándar",'Costos y metas'!$B$14,IF(H63="Premium",'Costos y metas'!$B$15,IF(H63="Pack 2 Estándar",'Costos y metas'!$G$42,IF(H63="Pack mixto",'Costos y metas'!$G$43,""))))</f>
        <v/>
      </c>
      <c r="K63" s="5" t="str">
        <f t="shared" si="2"/>
        <v/>
      </c>
      <c r="L63" s="5" t="str">
        <f>IF(H63="Estándar",I63*'Costos y metas'!$E$26,IF(H63="Premium",I63*'Costos y metas'!$E$27,IF(H63="Pack 2 Estándar",I63*2*'Costos y metas'!$E$26,IF(H63="Pack mixto",I63*('Costos y metas'!$E$26+'Costos y metas'!$E$27),""))))</f>
        <v/>
      </c>
      <c r="M63" s="5" t="str">
        <f t="shared" si="3"/>
        <v/>
      </c>
      <c r="N63" s="1"/>
      <c r="O63" s="11"/>
      <c r="P63" s="56"/>
    </row>
    <row r="64" spans="1:16">
      <c r="A64" s="55"/>
      <c r="B64" s="1"/>
      <c r="C64" s="1"/>
      <c r="D64" s="1"/>
      <c r="E64" s="1"/>
      <c r="F64" s="1"/>
      <c r="G64" s="1"/>
      <c r="H64" s="1"/>
      <c r="I64" s="7"/>
      <c r="J64" s="5" t="str">
        <f>IF(H64="Estándar",'Costos y metas'!$B$14,IF(H64="Premium",'Costos y metas'!$B$15,IF(H64="Pack 2 Estándar",'Costos y metas'!$G$42,IF(H64="Pack mixto",'Costos y metas'!$G$43,""))))</f>
        <v/>
      </c>
      <c r="K64" s="5" t="str">
        <f t="shared" si="2"/>
        <v/>
      </c>
      <c r="L64" s="5" t="str">
        <f>IF(H64="Estándar",I64*'Costos y metas'!$E$26,IF(H64="Premium",I64*'Costos y metas'!$E$27,IF(H64="Pack 2 Estándar",I64*2*'Costos y metas'!$E$26,IF(H64="Pack mixto",I64*('Costos y metas'!$E$26+'Costos y metas'!$E$27),""))))</f>
        <v/>
      </c>
      <c r="M64" s="5" t="str">
        <f t="shared" si="3"/>
        <v/>
      </c>
      <c r="N64" s="1"/>
      <c r="O64" s="11"/>
      <c r="P64" s="56"/>
    </row>
    <row r="65" spans="1:16">
      <c r="A65" s="55"/>
      <c r="B65" s="1"/>
      <c r="C65" s="1"/>
      <c r="D65" s="1"/>
      <c r="E65" s="1"/>
      <c r="F65" s="1"/>
      <c r="G65" s="1"/>
      <c r="H65" s="1"/>
      <c r="I65" s="7"/>
      <c r="J65" s="5" t="str">
        <f>IF(H65="Estándar",'Costos y metas'!$B$14,IF(H65="Premium",'Costos y metas'!$B$15,IF(H65="Pack 2 Estándar",'Costos y metas'!$G$42,IF(H65="Pack mixto",'Costos y metas'!$G$43,""))))</f>
        <v/>
      </c>
      <c r="K65" s="5" t="str">
        <f t="shared" si="2"/>
        <v/>
      </c>
      <c r="L65" s="5" t="str">
        <f>IF(H65="Estándar",I65*'Costos y metas'!$E$26,IF(H65="Premium",I65*'Costos y metas'!$E$27,IF(H65="Pack 2 Estándar",I65*2*'Costos y metas'!$E$26,IF(H65="Pack mixto",I65*('Costos y metas'!$E$26+'Costos y metas'!$E$27),""))))</f>
        <v/>
      </c>
      <c r="M65" s="5" t="str">
        <f t="shared" si="3"/>
        <v/>
      </c>
      <c r="N65" s="1"/>
      <c r="O65" s="11"/>
      <c r="P65" s="56"/>
    </row>
    <row r="66" spans="1:16">
      <c r="A66" s="55"/>
      <c r="B66" s="1"/>
      <c r="C66" s="1"/>
      <c r="D66" s="1"/>
      <c r="E66" s="1"/>
      <c r="F66" s="1"/>
      <c r="G66" s="1"/>
      <c r="H66" s="1"/>
      <c r="I66" s="7"/>
      <c r="J66" s="5" t="str">
        <f>IF(H66="Estándar",'Costos y metas'!$B$14,IF(H66="Premium",'Costos y metas'!$B$15,IF(H66="Pack 2 Estándar",'Costos y metas'!$G$42,IF(H66="Pack mixto",'Costos y metas'!$G$43,""))))</f>
        <v/>
      </c>
      <c r="K66" s="5" t="str">
        <f t="shared" si="2"/>
        <v/>
      </c>
      <c r="L66" s="5" t="str">
        <f>IF(H66="Estándar",I66*'Costos y metas'!$E$26,IF(H66="Premium",I66*'Costos y metas'!$E$27,IF(H66="Pack 2 Estándar",I66*2*'Costos y metas'!$E$26,IF(H66="Pack mixto",I66*('Costos y metas'!$E$26+'Costos y metas'!$E$27),""))))</f>
        <v/>
      </c>
      <c r="M66" s="5" t="str">
        <f t="shared" si="3"/>
        <v/>
      </c>
      <c r="N66" s="1"/>
      <c r="O66" s="11"/>
      <c r="P66" s="56"/>
    </row>
    <row r="67" spans="1:16">
      <c r="A67" s="55"/>
      <c r="B67" s="1"/>
      <c r="C67" s="1"/>
      <c r="D67" s="1"/>
      <c r="E67" s="1"/>
      <c r="F67" s="1"/>
      <c r="G67" s="1"/>
      <c r="H67" s="1"/>
      <c r="I67" s="7"/>
      <c r="J67" s="5" t="str">
        <f>IF(H67="Estándar",'Costos y metas'!$B$14,IF(H67="Premium",'Costos y metas'!$B$15,IF(H67="Pack 2 Estándar",'Costos y metas'!$G$42,IF(H67="Pack mixto",'Costos y metas'!$G$43,""))))</f>
        <v/>
      </c>
      <c r="K67" s="5" t="str">
        <f t="shared" si="2"/>
        <v/>
      </c>
      <c r="L67" s="5" t="str">
        <f>IF(H67="Estándar",I67*'Costos y metas'!$E$26,IF(H67="Premium",I67*'Costos y metas'!$E$27,IF(H67="Pack 2 Estándar",I67*2*'Costos y metas'!$E$26,IF(H67="Pack mixto",I67*('Costos y metas'!$E$26+'Costos y metas'!$E$27),""))))</f>
        <v/>
      </c>
      <c r="M67" s="5" t="str">
        <f t="shared" si="3"/>
        <v/>
      </c>
      <c r="N67" s="1"/>
      <c r="O67" s="11"/>
      <c r="P67" s="56"/>
    </row>
    <row r="68" spans="1:16">
      <c r="A68" s="55"/>
      <c r="B68" s="1"/>
      <c r="C68" s="1"/>
      <c r="D68" s="1"/>
      <c r="E68" s="1"/>
      <c r="F68" s="1"/>
      <c r="G68" s="1"/>
      <c r="H68" s="1"/>
      <c r="I68" s="7"/>
      <c r="J68" s="5" t="str">
        <f>IF(H68="Estándar",'Costos y metas'!$B$14,IF(H68="Premium",'Costos y metas'!$B$15,IF(H68="Pack 2 Estándar",'Costos y metas'!$G$42,IF(H68="Pack mixto",'Costos y metas'!$G$43,""))))</f>
        <v/>
      </c>
      <c r="K68" s="5" t="str">
        <f t="shared" si="2"/>
        <v/>
      </c>
      <c r="L68" s="5" t="str">
        <f>IF(H68="Estándar",I68*'Costos y metas'!$E$26,IF(H68="Premium",I68*'Costos y metas'!$E$27,IF(H68="Pack 2 Estándar",I68*2*'Costos y metas'!$E$26,IF(H68="Pack mixto",I68*('Costos y metas'!$E$26+'Costos y metas'!$E$27),""))))</f>
        <v/>
      </c>
      <c r="M68" s="5" t="str">
        <f t="shared" si="3"/>
        <v/>
      </c>
      <c r="N68" s="1"/>
      <c r="O68" s="11"/>
      <c r="P68" s="56"/>
    </row>
    <row r="69" spans="1:16">
      <c r="A69" s="55"/>
      <c r="B69" s="1"/>
      <c r="C69" s="1"/>
      <c r="D69" s="1"/>
      <c r="E69" s="1"/>
      <c r="F69" s="1"/>
      <c r="G69" s="1"/>
      <c r="H69" s="1"/>
      <c r="I69" s="7"/>
      <c r="J69" s="5" t="str">
        <f>IF(H69="Estándar",'Costos y metas'!$B$14,IF(H69="Premium",'Costos y metas'!$B$15,IF(H69="Pack 2 Estándar",'Costos y metas'!$G$42,IF(H69="Pack mixto",'Costos y metas'!$G$43,""))))</f>
        <v/>
      </c>
      <c r="K69" s="5" t="str">
        <f t="shared" si="2"/>
        <v/>
      </c>
      <c r="L69" s="5" t="str">
        <f>IF(H69="Estándar",I69*'Costos y metas'!$E$26,IF(H69="Premium",I69*'Costos y metas'!$E$27,IF(H69="Pack 2 Estándar",I69*2*'Costos y metas'!$E$26,IF(H69="Pack mixto",I69*('Costos y metas'!$E$26+'Costos y metas'!$E$27),""))))</f>
        <v/>
      </c>
      <c r="M69" s="5" t="str">
        <f t="shared" si="3"/>
        <v/>
      </c>
      <c r="N69" s="1"/>
      <c r="O69" s="11"/>
      <c r="P69" s="56"/>
    </row>
    <row r="70" spans="1:16">
      <c r="A70" s="55"/>
      <c r="B70" s="1"/>
      <c r="C70" s="1"/>
      <c r="D70" s="1"/>
      <c r="E70" s="1"/>
      <c r="F70" s="1"/>
      <c r="G70" s="1"/>
      <c r="H70" s="1"/>
      <c r="I70" s="7"/>
      <c r="J70" s="5" t="str">
        <f>IF(H70="Estándar",'Costos y metas'!$B$14,IF(H70="Premium",'Costos y metas'!$B$15,IF(H70="Pack 2 Estándar",'Costos y metas'!$G$42,IF(H70="Pack mixto",'Costos y metas'!$G$43,""))))</f>
        <v/>
      </c>
      <c r="K70" s="5" t="str">
        <f t="shared" ref="K70:K101" si="4">IF(OR(I70="",J70=""),"",I70*J70)</f>
        <v/>
      </c>
      <c r="L70" s="5" t="str">
        <f>IF(H70="Estándar",I70*'Costos y metas'!$E$26,IF(H70="Premium",I70*'Costos y metas'!$E$27,IF(H70="Pack 2 Estándar",I70*2*'Costos y metas'!$E$26,IF(H70="Pack mixto",I70*('Costos y metas'!$E$26+'Costos y metas'!$E$27),""))))</f>
        <v/>
      </c>
      <c r="M70" s="5" t="str">
        <f t="shared" ref="M70:M101" si="5">IF(OR(K70="",L70=""),"",K70-L70)</f>
        <v/>
      </c>
      <c r="N70" s="1"/>
      <c r="O70" s="11"/>
      <c r="P70" s="56"/>
    </row>
    <row r="71" spans="1:16">
      <c r="A71" s="55"/>
      <c r="B71" s="1"/>
      <c r="C71" s="1"/>
      <c r="D71" s="1"/>
      <c r="E71" s="1"/>
      <c r="F71" s="1"/>
      <c r="G71" s="1"/>
      <c r="H71" s="1"/>
      <c r="I71" s="7"/>
      <c r="J71" s="5" t="str">
        <f>IF(H71="Estándar",'Costos y metas'!$B$14,IF(H71="Premium",'Costos y metas'!$B$15,IF(H71="Pack 2 Estándar",'Costos y metas'!$G$42,IF(H71="Pack mixto",'Costos y metas'!$G$43,""))))</f>
        <v/>
      </c>
      <c r="K71" s="5" t="str">
        <f t="shared" si="4"/>
        <v/>
      </c>
      <c r="L71" s="5" t="str">
        <f>IF(H71="Estándar",I71*'Costos y metas'!$E$26,IF(H71="Premium",I71*'Costos y metas'!$E$27,IF(H71="Pack 2 Estándar",I71*2*'Costos y metas'!$E$26,IF(H71="Pack mixto",I71*('Costos y metas'!$E$26+'Costos y metas'!$E$27),""))))</f>
        <v/>
      </c>
      <c r="M71" s="5" t="str">
        <f t="shared" si="5"/>
        <v/>
      </c>
      <c r="N71" s="1"/>
      <c r="O71" s="11"/>
      <c r="P71" s="56"/>
    </row>
    <row r="72" spans="1:16">
      <c r="A72" s="55"/>
      <c r="B72" s="1"/>
      <c r="C72" s="1"/>
      <c r="D72" s="1"/>
      <c r="E72" s="1"/>
      <c r="F72" s="1"/>
      <c r="G72" s="1"/>
      <c r="H72" s="1"/>
      <c r="I72" s="7"/>
      <c r="J72" s="5" t="str">
        <f>IF(H72="Estándar",'Costos y metas'!$B$14,IF(H72="Premium",'Costos y metas'!$B$15,IF(H72="Pack 2 Estándar",'Costos y metas'!$G$42,IF(H72="Pack mixto",'Costos y metas'!$G$43,""))))</f>
        <v/>
      </c>
      <c r="K72" s="5" t="str">
        <f t="shared" si="4"/>
        <v/>
      </c>
      <c r="L72" s="5" t="str">
        <f>IF(H72="Estándar",I72*'Costos y metas'!$E$26,IF(H72="Premium",I72*'Costos y metas'!$E$27,IF(H72="Pack 2 Estándar",I72*2*'Costos y metas'!$E$26,IF(H72="Pack mixto",I72*('Costos y metas'!$E$26+'Costos y metas'!$E$27),""))))</f>
        <v/>
      </c>
      <c r="M72" s="5" t="str">
        <f t="shared" si="5"/>
        <v/>
      </c>
      <c r="N72" s="1"/>
      <c r="O72" s="11"/>
      <c r="P72" s="56"/>
    </row>
    <row r="73" spans="1:16">
      <c r="A73" s="55"/>
      <c r="B73" s="1"/>
      <c r="C73" s="1"/>
      <c r="D73" s="1"/>
      <c r="E73" s="1"/>
      <c r="F73" s="1"/>
      <c r="G73" s="1"/>
      <c r="H73" s="1"/>
      <c r="I73" s="7"/>
      <c r="J73" s="5" t="str">
        <f>IF(H73="Estándar",'Costos y metas'!$B$14,IF(H73="Premium",'Costos y metas'!$B$15,IF(H73="Pack 2 Estándar",'Costos y metas'!$G$42,IF(H73="Pack mixto",'Costos y metas'!$G$43,""))))</f>
        <v/>
      </c>
      <c r="K73" s="5" t="str">
        <f t="shared" si="4"/>
        <v/>
      </c>
      <c r="L73" s="5" t="str">
        <f>IF(H73="Estándar",I73*'Costos y metas'!$E$26,IF(H73="Premium",I73*'Costos y metas'!$E$27,IF(H73="Pack 2 Estándar",I73*2*'Costos y metas'!$E$26,IF(H73="Pack mixto",I73*('Costos y metas'!$E$26+'Costos y metas'!$E$27),""))))</f>
        <v/>
      </c>
      <c r="M73" s="5" t="str">
        <f t="shared" si="5"/>
        <v/>
      </c>
      <c r="N73" s="1"/>
      <c r="O73" s="11"/>
      <c r="P73" s="56"/>
    </row>
    <row r="74" spans="1:16">
      <c r="A74" s="55"/>
      <c r="B74" s="1"/>
      <c r="C74" s="1"/>
      <c r="D74" s="1"/>
      <c r="E74" s="1"/>
      <c r="F74" s="1"/>
      <c r="G74" s="1"/>
      <c r="H74" s="1"/>
      <c r="I74" s="7"/>
      <c r="J74" s="5" t="str">
        <f>IF(H74="Estándar",'Costos y metas'!$B$14,IF(H74="Premium",'Costos y metas'!$B$15,IF(H74="Pack 2 Estándar",'Costos y metas'!$G$42,IF(H74="Pack mixto",'Costos y metas'!$G$43,""))))</f>
        <v/>
      </c>
      <c r="K74" s="5" t="str">
        <f t="shared" si="4"/>
        <v/>
      </c>
      <c r="L74" s="5" t="str">
        <f>IF(H74="Estándar",I74*'Costos y metas'!$E$26,IF(H74="Premium",I74*'Costos y metas'!$E$27,IF(H74="Pack 2 Estándar",I74*2*'Costos y metas'!$E$26,IF(H74="Pack mixto",I74*('Costos y metas'!$E$26+'Costos y metas'!$E$27),""))))</f>
        <v/>
      </c>
      <c r="M74" s="5" t="str">
        <f t="shared" si="5"/>
        <v/>
      </c>
      <c r="N74" s="1"/>
      <c r="O74" s="11"/>
      <c r="P74" s="56"/>
    </row>
    <row r="75" spans="1:16">
      <c r="A75" s="55"/>
      <c r="B75" s="1"/>
      <c r="C75" s="1"/>
      <c r="D75" s="1"/>
      <c r="E75" s="1"/>
      <c r="F75" s="1"/>
      <c r="G75" s="1"/>
      <c r="H75" s="1"/>
      <c r="I75" s="7"/>
      <c r="J75" s="5" t="str">
        <f>IF(H75="Estándar",'Costos y metas'!$B$14,IF(H75="Premium",'Costos y metas'!$B$15,IF(H75="Pack 2 Estándar",'Costos y metas'!$G$42,IF(H75="Pack mixto",'Costos y metas'!$G$43,""))))</f>
        <v/>
      </c>
      <c r="K75" s="5" t="str">
        <f t="shared" si="4"/>
        <v/>
      </c>
      <c r="L75" s="5" t="str">
        <f>IF(H75="Estándar",I75*'Costos y metas'!$E$26,IF(H75="Premium",I75*'Costos y metas'!$E$27,IF(H75="Pack 2 Estándar",I75*2*'Costos y metas'!$E$26,IF(H75="Pack mixto",I75*('Costos y metas'!$E$26+'Costos y metas'!$E$27),""))))</f>
        <v/>
      </c>
      <c r="M75" s="5" t="str">
        <f t="shared" si="5"/>
        <v/>
      </c>
      <c r="N75" s="1"/>
      <c r="O75" s="11"/>
      <c r="P75" s="56"/>
    </row>
    <row r="76" spans="1:16">
      <c r="A76" s="55"/>
      <c r="B76" s="1"/>
      <c r="C76" s="1"/>
      <c r="D76" s="1"/>
      <c r="E76" s="1"/>
      <c r="F76" s="1"/>
      <c r="G76" s="1"/>
      <c r="H76" s="1"/>
      <c r="I76" s="7"/>
      <c r="J76" s="5" t="str">
        <f>IF(H76="Estándar",'Costos y metas'!$B$14,IF(H76="Premium",'Costos y metas'!$B$15,IF(H76="Pack 2 Estándar",'Costos y metas'!$G$42,IF(H76="Pack mixto",'Costos y metas'!$G$43,""))))</f>
        <v/>
      </c>
      <c r="K76" s="5" t="str">
        <f t="shared" si="4"/>
        <v/>
      </c>
      <c r="L76" s="5" t="str">
        <f>IF(H76="Estándar",I76*'Costos y metas'!$E$26,IF(H76="Premium",I76*'Costos y metas'!$E$27,IF(H76="Pack 2 Estándar",I76*2*'Costos y metas'!$E$26,IF(H76="Pack mixto",I76*('Costos y metas'!$E$26+'Costos y metas'!$E$27),""))))</f>
        <v/>
      </c>
      <c r="M76" s="5" t="str">
        <f t="shared" si="5"/>
        <v/>
      </c>
      <c r="N76" s="1"/>
      <c r="O76" s="11"/>
      <c r="P76" s="56"/>
    </row>
    <row r="77" spans="1:16">
      <c r="A77" s="55"/>
      <c r="B77" s="1"/>
      <c r="C77" s="1"/>
      <c r="D77" s="1"/>
      <c r="E77" s="1"/>
      <c r="F77" s="1"/>
      <c r="G77" s="1"/>
      <c r="H77" s="1"/>
      <c r="I77" s="7"/>
      <c r="J77" s="5" t="str">
        <f>IF(H77="Estándar",'Costos y metas'!$B$14,IF(H77="Premium",'Costos y metas'!$B$15,IF(H77="Pack 2 Estándar",'Costos y metas'!$G$42,IF(H77="Pack mixto",'Costos y metas'!$G$43,""))))</f>
        <v/>
      </c>
      <c r="K77" s="5" t="str">
        <f t="shared" si="4"/>
        <v/>
      </c>
      <c r="L77" s="5" t="str">
        <f>IF(H77="Estándar",I77*'Costos y metas'!$E$26,IF(H77="Premium",I77*'Costos y metas'!$E$27,IF(H77="Pack 2 Estándar",I77*2*'Costos y metas'!$E$26,IF(H77="Pack mixto",I77*('Costos y metas'!$E$26+'Costos y metas'!$E$27),""))))</f>
        <v/>
      </c>
      <c r="M77" s="5" t="str">
        <f t="shared" si="5"/>
        <v/>
      </c>
      <c r="N77" s="1"/>
      <c r="O77" s="11"/>
      <c r="P77" s="56"/>
    </row>
    <row r="78" spans="1:16">
      <c r="A78" s="55"/>
      <c r="B78" s="1"/>
      <c r="C78" s="1"/>
      <c r="D78" s="1"/>
      <c r="E78" s="1"/>
      <c r="F78" s="1"/>
      <c r="G78" s="1"/>
      <c r="H78" s="1"/>
      <c r="I78" s="7"/>
      <c r="J78" s="5" t="str">
        <f>IF(H78="Estándar",'Costos y metas'!$B$14,IF(H78="Premium",'Costos y metas'!$B$15,IF(H78="Pack 2 Estándar",'Costos y metas'!$G$42,IF(H78="Pack mixto",'Costos y metas'!$G$43,""))))</f>
        <v/>
      </c>
      <c r="K78" s="5" t="str">
        <f t="shared" si="4"/>
        <v/>
      </c>
      <c r="L78" s="5" t="str">
        <f>IF(H78="Estándar",I78*'Costos y metas'!$E$26,IF(H78="Premium",I78*'Costos y metas'!$E$27,IF(H78="Pack 2 Estándar",I78*2*'Costos y metas'!$E$26,IF(H78="Pack mixto",I78*('Costos y metas'!$E$26+'Costos y metas'!$E$27),""))))</f>
        <v/>
      </c>
      <c r="M78" s="5" t="str">
        <f t="shared" si="5"/>
        <v/>
      </c>
      <c r="N78" s="1"/>
      <c r="O78" s="11"/>
      <c r="P78" s="56"/>
    </row>
    <row r="79" spans="1:16">
      <c r="A79" s="55"/>
      <c r="B79" s="1"/>
      <c r="C79" s="1"/>
      <c r="D79" s="1"/>
      <c r="E79" s="1"/>
      <c r="F79" s="1"/>
      <c r="G79" s="1"/>
      <c r="H79" s="1"/>
      <c r="I79" s="7"/>
      <c r="J79" s="5" t="str">
        <f>IF(H79="Estándar",'Costos y metas'!$B$14,IF(H79="Premium",'Costos y metas'!$B$15,IF(H79="Pack 2 Estándar",'Costos y metas'!$G$42,IF(H79="Pack mixto",'Costos y metas'!$G$43,""))))</f>
        <v/>
      </c>
      <c r="K79" s="5" t="str">
        <f t="shared" si="4"/>
        <v/>
      </c>
      <c r="L79" s="5" t="str">
        <f>IF(H79="Estándar",I79*'Costos y metas'!$E$26,IF(H79="Premium",I79*'Costos y metas'!$E$27,IF(H79="Pack 2 Estándar",I79*2*'Costos y metas'!$E$26,IF(H79="Pack mixto",I79*('Costos y metas'!$E$26+'Costos y metas'!$E$27),""))))</f>
        <v/>
      </c>
      <c r="M79" s="5" t="str">
        <f t="shared" si="5"/>
        <v/>
      </c>
      <c r="N79" s="1"/>
      <c r="O79" s="11"/>
      <c r="P79" s="56"/>
    </row>
    <row r="80" spans="1:16">
      <c r="A80" s="55"/>
      <c r="B80" s="1"/>
      <c r="C80" s="1"/>
      <c r="D80" s="1"/>
      <c r="E80" s="1"/>
      <c r="F80" s="1"/>
      <c r="G80" s="1"/>
      <c r="H80" s="1"/>
      <c r="I80" s="7"/>
      <c r="J80" s="5" t="str">
        <f>IF(H80="Estándar",'Costos y metas'!$B$14,IF(H80="Premium",'Costos y metas'!$B$15,IF(H80="Pack 2 Estándar",'Costos y metas'!$G$42,IF(H80="Pack mixto",'Costos y metas'!$G$43,""))))</f>
        <v/>
      </c>
      <c r="K80" s="5" t="str">
        <f t="shared" si="4"/>
        <v/>
      </c>
      <c r="L80" s="5" t="str">
        <f>IF(H80="Estándar",I80*'Costos y metas'!$E$26,IF(H80="Premium",I80*'Costos y metas'!$E$27,IF(H80="Pack 2 Estándar",I80*2*'Costos y metas'!$E$26,IF(H80="Pack mixto",I80*('Costos y metas'!$E$26+'Costos y metas'!$E$27),""))))</f>
        <v/>
      </c>
      <c r="M80" s="5" t="str">
        <f t="shared" si="5"/>
        <v/>
      </c>
      <c r="N80" s="1"/>
      <c r="O80" s="11"/>
      <c r="P80" s="56"/>
    </row>
    <row r="81" spans="1:16">
      <c r="A81" s="55"/>
      <c r="B81" s="1"/>
      <c r="C81" s="1"/>
      <c r="D81" s="1"/>
      <c r="E81" s="1"/>
      <c r="F81" s="1"/>
      <c r="G81" s="1"/>
      <c r="H81" s="1"/>
      <c r="I81" s="7"/>
      <c r="J81" s="5" t="str">
        <f>IF(H81="Estándar",'Costos y metas'!$B$14,IF(H81="Premium",'Costos y metas'!$B$15,IF(H81="Pack 2 Estándar",'Costos y metas'!$G$42,IF(H81="Pack mixto",'Costos y metas'!$G$43,""))))</f>
        <v/>
      </c>
      <c r="K81" s="5" t="str">
        <f t="shared" si="4"/>
        <v/>
      </c>
      <c r="L81" s="5" t="str">
        <f>IF(H81="Estándar",I81*'Costos y metas'!$E$26,IF(H81="Premium",I81*'Costos y metas'!$E$27,IF(H81="Pack 2 Estándar",I81*2*'Costos y metas'!$E$26,IF(H81="Pack mixto",I81*('Costos y metas'!$E$26+'Costos y metas'!$E$27),""))))</f>
        <v/>
      </c>
      <c r="M81" s="5" t="str">
        <f t="shared" si="5"/>
        <v/>
      </c>
      <c r="N81" s="1"/>
      <c r="O81" s="11"/>
      <c r="P81" s="56"/>
    </row>
    <row r="82" spans="1:16">
      <c r="A82" s="55"/>
      <c r="B82" s="1"/>
      <c r="C82" s="1"/>
      <c r="D82" s="1"/>
      <c r="E82" s="1"/>
      <c r="F82" s="1"/>
      <c r="G82" s="1"/>
      <c r="H82" s="1"/>
      <c r="I82" s="7"/>
      <c r="J82" s="5" t="str">
        <f>IF(H82="Estándar",'Costos y metas'!$B$14,IF(H82="Premium",'Costos y metas'!$B$15,IF(H82="Pack 2 Estándar",'Costos y metas'!$G$42,IF(H82="Pack mixto",'Costos y metas'!$G$43,""))))</f>
        <v/>
      </c>
      <c r="K82" s="5" t="str">
        <f t="shared" si="4"/>
        <v/>
      </c>
      <c r="L82" s="5" t="str">
        <f>IF(H82="Estándar",I82*'Costos y metas'!$E$26,IF(H82="Premium",I82*'Costos y metas'!$E$27,IF(H82="Pack 2 Estándar",I82*2*'Costos y metas'!$E$26,IF(H82="Pack mixto",I82*('Costos y metas'!$E$26+'Costos y metas'!$E$27),""))))</f>
        <v/>
      </c>
      <c r="M82" s="5" t="str">
        <f t="shared" si="5"/>
        <v/>
      </c>
      <c r="N82" s="1"/>
      <c r="O82" s="11"/>
      <c r="P82" s="56"/>
    </row>
    <row r="83" spans="1:16">
      <c r="A83" s="55"/>
      <c r="B83" s="1"/>
      <c r="C83" s="1"/>
      <c r="D83" s="1"/>
      <c r="E83" s="1"/>
      <c r="F83" s="1"/>
      <c r="G83" s="1"/>
      <c r="H83" s="1"/>
      <c r="I83" s="7"/>
      <c r="J83" s="5" t="str">
        <f>IF(H83="Estándar",'Costos y metas'!$B$14,IF(H83="Premium",'Costos y metas'!$B$15,IF(H83="Pack 2 Estándar",'Costos y metas'!$G$42,IF(H83="Pack mixto",'Costos y metas'!$G$43,""))))</f>
        <v/>
      </c>
      <c r="K83" s="5" t="str">
        <f t="shared" si="4"/>
        <v/>
      </c>
      <c r="L83" s="5" t="str">
        <f>IF(H83="Estándar",I83*'Costos y metas'!$E$26,IF(H83="Premium",I83*'Costos y metas'!$E$27,IF(H83="Pack 2 Estándar",I83*2*'Costos y metas'!$E$26,IF(H83="Pack mixto",I83*('Costos y metas'!$E$26+'Costos y metas'!$E$27),""))))</f>
        <v/>
      </c>
      <c r="M83" s="5" t="str">
        <f t="shared" si="5"/>
        <v/>
      </c>
      <c r="N83" s="1"/>
      <c r="O83" s="11"/>
      <c r="P83" s="56"/>
    </row>
    <row r="84" spans="1:16">
      <c r="A84" s="55"/>
      <c r="B84" s="1"/>
      <c r="C84" s="1"/>
      <c r="D84" s="1"/>
      <c r="E84" s="1"/>
      <c r="F84" s="1"/>
      <c r="G84" s="1"/>
      <c r="H84" s="1"/>
      <c r="I84" s="7"/>
      <c r="J84" s="5" t="str">
        <f>IF(H84="Estándar",'Costos y metas'!$B$14,IF(H84="Premium",'Costos y metas'!$B$15,IF(H84="Pack 2 Estándar",'Costos y metas'!$G$42,IF(H84="Pack mixto",'Costos y metas'!$G$43,""))))</f>
        <v/>
      </c>
      <c r="K84" s="5" t="str">
        <f t="shared" si="4"/>
        <v/>
      </c>
      <c r="L84" s="5" t="str">
        <f>IF(H84="Estándar",I84*'Costos y metas'!$E$26,IF(H84="Premium",I84*'Costos y metas'!$E$27,IF(H84="Pack 2 Estándar",I84*2*'Costos y metas'!$E$26,IF(H84="Pack mixto",I84*('Costos y metas'!$E$26+'Costos y metas'!$E$27),""))))</f>
        <v/>
      </c>
      <c r="M84" s="5" t="str">
        <f t="shared" si="5"/>
        <v/>
      </c>
      <c r="N84" s="1"/>
      <c r="O84" s="11"/>
      <c r="P84" s="56"/>
    </row>
    <row r="85" spans="1:16">
      <c r="A85" s="55"/>
      <c r="B85" s="1"/>
      <c r="C85" s="1"/>
      <c r="D85" s="1"/>
      <c r="E85" s="1"/>
      <c r="F85" s="1"/>
      <c r="G85" s="1"/>
      <c r="H85" s="1"/>
      <c r="I85" s="7"/>
      <c r="J85" s="5" t="str">
        <f>IF(H85="Estándar",'Costos y metas'!$B$14,IF(H85="Premium",'Costos y metas'!$B$15,IF(H85="Pack 2 Estándar",'Costos y metas'!$G$42,IF(H85="Pack mixto",'Costos y metas'!$G$43,""))))</f>
        <v/>
      </c>
      <c r="K85" s="5" t="str">
        <f t="shared" si="4"/>
        <v/>
      </c>
      <c r="L85" s="5" t="str">
        <f>IF(H85="Estándar",I85*'Costos y metas'!$E$26,IF(H85="Premium",I85*'Costos y metas'!$E$27,IF(H85="Pack 2 Estándar",I85*2*'Costos y metas'!$E$26,IF(H85="Pack mixto",I85*('Costos y metas'!$E$26+'Costos y metas'!$E$27),""))))</f>
        <v/>
      </c>
      <c r="M85" s="5" t="str">
        <f t="shared" si="5"/>
        <v/>
      </c>
      <c r="N85" s="1"/>
      <c r="O85" s="11"/>
      <c r="P85" s="56"/>
    </row>
    <row r="86" spans="1:16">
      <c r="A86" s="55"/>
      <c r="B86" s="1"/>
      <c r="C86" s="1"/>
      <c r="D86" s="1"/>
      <c r="E86" s="1"/>
      <c r="F86" s="1"/>
      <c r="G86" s="1"/>
      <c r="H86" s="1"/>
      <c r="I86" s="7"/>
      <c r="J86" s="5" t="str">
        <f>IF(H86="Estándar",'Costos y metas'!$B$14,IF(H86="Premium",'Costos y metas'!$B$15,IF(H86="Pack 2 Estándar",'Costos y metas'!$G$42,IF(H86="Pack mixto",'Costos y metas'!$G$43,""))))</f>
        <v/>
      </c>
      <c r="K86" s="5" t="str">
        <f t="shared" si="4"/>
        <v/>
      </c>
      <c r="L86" s="5" t="str">
        <f>IF(H86="Estándar",I86*'Costos y metas'!$E$26,IF(H86="Premium",I86*'Costos y metas'!$E$27,IF(H86="Pack 2 Estándar",I86*2*'Costos y metas'!$E$26,IF(H86="Pack mixto",I86*('Costos y metas'!$E$26+'Costos y metas'!$E$27),""))))</f>
        <v/>
      </c>
      <c r="M86" s="5" t="str">
        <f t="shared" si="5"/>
        <v/>
      </c>
      <c r="N86" s="1"/>
      <c r="O86" s="11"/>
      <c r="P86" s="56"/>
    </row>
    <row r="87" spans="1:16">
      <c r="A87" s="55"/>
      <c r="B87" s="1"/>
      <c r="C87" s="1"/>
      <c r="D87" s="1"/>
      <c r="E87" s="1"/>
      <c r="F87" s="1"/>
      <c r="G87" s="1"/>
      <c r="H87" s="1"/>
      <c r="I87" s="7"/>
      <c r="J87" s="5" t="str">
        <f>IF(H87="Estándar",'Costos y metas'!$B$14,IF(H87="Premium",'Costos y metas'!$B$15,IF(H87="Pack 2 Estándar",'Costos y metas'!$G$42,IF(H87="Pack mixto",'Costos y metas'!$G$43,""))))</f>
        <v/>
      </c>
      <c r="K87" s="5" t="str">
        <f t="shared" si="4"/>
        <v/>
      </c>
      <c r="L87" s="5" t="str">
        <f>IF(H87="Estándar",I87*'Costos y metas'!$E$26,IF(H87="Premium",I87*'Costos y metas'!$E$27,IF(H87="Pack 2 Estándar",I87*2*'Costos y metas'!$E$26,IF(H87="Pack mixto",I87*('Costos y metas'!$E$26+'Costos y metas'!$E$27),""))))</f>
        <v/>
      </c>
      <c r="M87" s="5" t="str">
        <f t="shared" si="5"/>
        <v/>
      </c>
      <c r="N87" s="1"/>
      <c r="O87" s="11"/>
      <c r="P87" s="56"/>
    </row>
    <row r="88" spans="1:16">
      <c r="A88" s="55"/>
      <c r="B88" s="1"/>
      <c r="C88" s="1"/>
      <c r="D88" s="1"/>
      <c r="E88" s="1"/>
      <c r="F88" s="1"/>
      <c r="G88" s="1"/>
      <c r="H88" s="1"/>
      <c r="I88" s="7"/>
      <c r="J88" s="5" t="str">
        <f>IF(H88="Estándar",'Costos y metas'!$B$14,IF(H88="Premium",'Costos y metas'!$B$15,IF(H88="Pack 2 Estándar",'Costos y metas'!$G$42,IF(H88="Pack mixto",'Costos y metas'!$G$43,""))))</f>
        <v/>
      </c>
      <c r="K88" s="5" t="str">
        <f t="shared" si="4"/>
        <v/>
      </c>
      <c r="L88" s="5" t="str">
        <f>IF(H88="Estándar",I88*'Costos y metas'!$E$26,IF(H88="Premium",I88*'Costos y metas'!$E$27,IF(H88="Pack 2 Estándar",I88*2*'Costos y metas'!$E$26,IF(H88="Pack mixto",I88*('Costos y metas'!$E$26+'Costos y metas'!$E$27),""))))</f>
        <v/>
      </c>
      <c r="M88" s="5" t="str">
        <f t="shared" si="5"/>
        <v/>
      </c>
      <c r="N88" s="1"/>
      <c r="O88" s="11"/>
      <c r="P88" s="56"/>
    </row>
    <row r="89" spans="1:16">
      <c r="A89" s="55"/>
      <c r="B89" s="1"/>
      <c r="C89" s="1"/>
      <c r="D89" s="1"/>
      <c r="E89" s="1"/>
      <c r="F89" s="1"/>
      <c r="G89" s="1"/>
      <c r="H89" s="1"/>
      <c r="I89" s="7"/>
      <c r="J89" s="5" t="str">
        <f>IF(H89="Estándar",'Costos y metas'!$B$14,IF(H89="Premium",'Costos y metas'!$B$15,IF(H89="Pack 2 Estándar",'Costos y metas'!$G$42,IF(H89="Pack mixto",'Costos y metas'!$G$43,""))))</f>
        <v/>
      </c>
      <c r="K89" s="5" t="str">
        <f t="shared" si="4"/>
        <v/>
      </c>
      <c r="L89" s="5" t="str">
        <f>IF(H89="Estándar",I89*'Costos y metas'!$E$26,IF(H89="Premium",I89*'Costos y metas'!$E$27,IF(H89="Pack 2 Estándar",I89*2*'Costos y metas'!$E$26,IF(H89="Pack mixto",I89*('Costos y metas'!$E$26+'Costos y metas'!$E$27),""))))</f>
        <v/>
      </c>
      <c r="M89" s="5" t="str">
        <f t="shared" si="5"/>
        <v/>
      </c>
      <c r="N89" s="1"/>
      <c r="O89" s="11"/>
      <c r="P89" s="56"/>
    </row>
    <row r="90" spans="1:16">
      <c r="A90" s="55"/>
      <c r="B90" s="1"/>
      <c r="C90" s="1"/>
      <c r="D90" s="1"/>
      <c r="E90" s="1"/>
      <c r="F90" s="1"/>
      <c r="G90" s="1"/>
      <c r="H90" s="1"/>
      <c r="I90" s="7"/>
      <c r="J90" s="5" t="str">
        <f>IF(H90="Estándar",'Costos y metas'!$B$14,IF(H90="Premium",'Costos y metas'!$B$15,IF(H90="Pack 2 Estándar",'Costos y metas'!$G$42,IF(H90="Pack mixto",'Costos y metas'!$G$43,""))))</f>
        <v/>
      </c>
      <c r="K90" s="5" t="str">
        <f t="shared" si="4"/>
        <v/>
      </c>
      <c r="L90" s="5" t="str">
        <f>IF(H90="Estándar",I90*'Costos y metas'!$E$26,IF(H90="Premium",I90*'Costos y metas'!$E$27,IF(H90="Pack 2 Estándar",I90*2*'Costos y metas'!$E$26,IF(H90="Pack mixto",I90*('Costos y metas'!$E$26+'Costos y metas'!$E$27),""))))</f>
        <v/>
      </c>
      <c r="M90" s="5" t="str">
        <f t="shared" si="5"/>
        <v/>
      </c>
      <c r="N90" s="1"/>
      <c r="O90" s="11"/>
      <c r="P90" s="56"/>
    </row>
    <row r="91" spans="1:16">
      <c r="A91" s="55"/>
      <c r="B91" s="1"/>
      <c r="C91" s="1"/>
      <c r="D91" s="1"/>
      <c r="E91" s="1"/>
      <c r="F91" s="1"/>
      <c r="G91" s="1"/>
      <c r="H91" s="1"/>
      <c r="I91" s="7"/>
      <c r="J91" s="5" t="str">
        <f>IF(H91="Estándar",'Costos y metas'!$B$14,IF(H91="Premium",'Costos y metas'!$B$15,IF(H91="Pack 2 Estándar",'Costos y metas'!$G$42,IF(H91="Pack mixto",'Costos y metas'!$G$43,""))))</f>
        <v/>
      </c>
      <c r="K91" s="5" t="str">
        <f t="shared" si="4"/>
        <v/>
      </c>
      <c r="L91" s="5" t="str">
        <f>IF(H91="Estándar",I91*'Costos y metas'!$E$26,IF(H91="Premium",I91*'Costos y metas'!$E$27,IF(H91="Pack 2 Estándar",I91*2*'Costos y metas'!$E$26,IF(H91="Pack mixto",I91*('Costos y metas'!$E$26+'Costos y metas'!$E$27),""))))</f>
        <v/>
      </c>
      <c r="M91" s="5" t="str">
        <f t="shared" si="5"/>
        <v/>
      </c>
      <c r="N91" s="1"/>
      <c r="O91" s="11"/>
      <c r="P91" s="56"/>
    </row>
    <row r="92" spans="1:16">
      <c r="A92" s="55"/>
      <c r="B92" s="1"/>
      <c r="C92" s="1"/>
      <c r="D92" s="1"/>
      <c r="E92" s="1"/>
      <c r="F92" s="1"/>
      <c r="G92" s="1"/>
      <c r="H92" s="1"/>
      <c r="I92" s="7"/>
      <c r="J92" s="5" t="str">
        <f>IF(H92="Estándar",'Costos y metas'!$B$14,IF(H92="Premium",'Costos y metas'!$B$15,IF(H92="Pack 2 Estándar",'Costos y metas'!$G$42,IF(H92="Pack mixto",'Costos y metas'!$G$43,""))))</f>
        <v/>
      </c>
      <c r="K92" s="5" t="str">
        <f t="shared" si="4"/>
        <v/>
      </c>
      <c r="L92" s="5" t="str">
        <f>IF(H92="Estándar",I92*'Costos y metas'!$E$26,IF(H92="Premium",I92*'Costos y metas'!$E$27,IF(H92="Pack 2 Estándar",I92*2*'Costos y metas'!$E$26,IF(H92="Pack mixto",I92*('Costos y metas'!$E$26+'Costos y metas'!$E$27),""))))</f>
        <v/>
      </c>
      <c r="M92" s="5" t="str">
        <f t="shared" si="5"/>
        <v/>
      </c>
      <c r="N92" s="1"/>
      <c r="O92" s="11"/>
      <c r="P92" s="56"/>
    </row>
    <row r="93" spans="1:16">
      <c r="A93" s="55"/>
      <c r="B93" s="1"/>
      <c r="C93" s="1"/>
      <c r="D93" s="1"/>
      <c r="E93" s="1"/>
      <c r="F93" s="1"/>
      <c r="G93" s="1"/>
      <c r="H93" s="1"/>
      <c r="I93" s="7"/>
      <c r="J93" s="5" t="str">
        <f>IF(H93="Estándar",'Costos y metas'!$B$14,IF(H93="Premium",'Costos y metas'!$B$15,IF(H93="Pack 2 Estándar",'Costos y metas'!$G$42,IF(H93="Pack mixto",'Costos y metas'!$G$43,""))))</f>
        <v/>
      </c>
      <c r="K93" s="5" t="str">
        <f t="shared" si="4"/>
        <v/>
      </c>
      <c r="L93" s="5" t="str">
        <f>IF(H93="Estándar",I93*'Costos y metas'!$E$26,IF(H93="Premium",I93*'Costos y metas'!$E$27,IF(H93="Pack 2 Estándar",I93*2*'Costos y metas'!$E$26,IF(H93="Pack mixto",I93*('Costos y metas'!$E$26+'Costos y metas'!$E$27),""))))</f>
        <v/>
      </c>
      <c r="M93" s="5" t="str">
        <f t="shared" si="5"/>
        <v/>
      </c>
      <c r="N93" s="1"/>
      <c r="O93" s="11"/>
      <c r="P93" s="56"/>
    </row>
    <row r="94" spans="1:16">
      <c r="A94" s="55"/>
      <c r="B94" s="1"/>
      <c r="C94" s="1"/>
      <c r="D94" s="1"/>
      <c r="E94" s="1"/>
      <c r="F94" s="1"/>
      <c r="G94" s="1"/>
      <c r="H94" s="1"/>
      <c r="I94" s="7"/>
      <c r="J94" s="5" t="str">
        <f>IF(H94="Estándar",'Costos y metas'!$B$14,IF(H94="Premium",'Costos y metas'!$B$15,IF(H94="Pack 2 Estándar",'Costos y metas'!$G$42,IF(H94="Pack mixto",'Costos y metas'!$G$43,""))))</f>
        <v/>
      </c>
      <c r="K94" s="5" t="str">
        <f t="shared" si="4"/>
        <v/>
      </c>
      <c r="L94" s="5" t="str">
        <f>IF(H94="Estándar",I94*'Costos y metas'!$E$26,IF(H94="Premium",I94*'Costos y metas'!$E$27,IF(H94="Pack 2 Estándar",I94*2*'Costos y metas'!$E$26,IF(H94="Pack mixto",I94*('Costos y metas'!$E$26+'Costos y metas'!$E$27),""))))</f>
        <v/>
      </c>
      <c r="M94" s="5" t="str">
        <f t="shared" si="5"/>
        <v/>
      </c>
      <c r="N94" s="1"/>
      <c r="O94" s="11"/>
      <c r="P94" s="56"/>
    </row>
    <row r="95" spans="1:16">
      <c r="A95" s="55"/>
      <c r="B95" s="1"/>
      <c r="C95" s="1"/>
      <c r="D95" s="1"/>
      <c r="E95" s="1"/>
      <c r="F95" s="1"/>
      <c r="G95" s="1"/>
      <c r="H95" s="1"/>
      <c r="I95" s="7"/>
      <c r="J95" s="5" t="str">
        <f>IF(H95="Estándar",'Costos y metas'!$B$14,IF(H95="Premium",'Costos y metas'!$B$15,IF(H95="Pack 2 Estándar",'Costos y metas'!$G$42,IF(H95="Pack mixto",'Costos y metas'!$G$43,""))))</f>
        <v/>
      </c>
      <c r="K95" s="5" t="str">
        <f t="shared" si="4"/>
        <v/>
      </c>
      <c r="L95" s="5" t="str">
        <f>IF(H95="Estándar",I95*'Costos y metas'!$E$26,IF(H95="Premium",I95*'Costos y metas'!$E$27,IF(H95="Pack 2 Estándar",I95*2*'Costos y metas'!$E$26,IF(H95="Pack mixto",I95*('Costos y metas'!$E$26+'Costos y metas'!$E$27),""))))</f>
        <v/>
      </c>
      <c r="M95" s="5" t="str">
        <f t="shared" si="5"/>
        <v/>
      </c>
      <c r="N95" s="1"/>
      <c r="O95" s="11"/>
      <c r="P95" s="56"/>
    </row>
    <row r="96" spans="1:16">
      <c r="A96" s="55"/>
      <c r="B96" s="1"/>
      <c r="C96" s="1"/>
      <c r="D96" s="1"/>
      <c r="E96" s="1"/>
      <c r="F96" s="1"/>
      <c r="G96" s="1"/>
      <c r="H96" s="1"/>
      <c r="I96" s="7"/>
      <c r="J96" s="5" t="str">
        <f>IF(H96="Estándar",'Costos y metas'!$B$14,IF(H96="Premium",'Costos y metas'!$B$15,IF(H96="Pack 2 Estándar",'Costos y metas'!$G$42,IF(H96="Pack mixto",'Costos y metas'!$G$43,""))))</f>
        <v/>
      </c>
      <c r="K96" s="5" t="str">
        <f t="shared" si="4"/>
        <v/>
      </c>
      <c r="L96" s="5" t="str">
        <f>IF(H96="Estándar",I96*'Costos y metas'!$E$26,IF(H96="Premium",I96*'Costos y metas'!$E$27,IF(H96="Pack 2 Estándar",I96*2*'Costos y metas'!$E$26,IF(H96="Pack mixto",I96*('Costos y metas'!$E$26+'Costos y metas'!$E$27),""))))</f>
        <v/>
      </c>
      <c r="M96" s="5" t="str">
        <f t="shared" si="5"/>
        <v/>
      </c>
      <c r="N96" s="1"/>
      <c r="O96" s="11"/>
      <c r="P96" s="56"/>
    </row>
    <row r="97" spans="1:16">
      <c r="A97" s="55"/>
      <c r="B97" s="1"/>
      <c r="C97" s="1"/>
      <c r="D97" s="1"/>
      <c r="E97" s="1"/>
      <c r="F97" s="1"/>
      <c r="G97" s="1"/>
      <c r="H97" s="1"/>
      <c r="I97" s="7"/>
      <c r="J97" s="5" t="str">
        <f>IF(H97="Estándar",'Costos y metas'!$B$14,IF(H97="Premium",'Costos y metas'!$B$15,IF(H97="Pack 2 Estándar",'Costos y metas'!$G$42,IF(H97="Pack mixto",'Costos y metas'!$G$43,""))))</f>
        <v/>
      </c>
      <c r="K97" s="5" t="str">
        <f t="shared" si="4"/>
        <v/>
      </c>
      <c r="L97" s="5" t="str">
        <f>IF(H97="Estándar",I97*'Costos y metas'!$E$26,IF(H97="Premium",I97*'Costos y metas'!$E$27,IF(H97="Pack 2 Estándar",I97*2*'Costos y metas'!$E$26,IF(H97="Pack mixto",I97*('Costos y metas'!$E$26+'Costos y metas'!$E$27),""))))</f>
        <v/>
      </c>
      <c r="M97" s="5" t="str">
        <f t="shared" si="5"/>
        <v/>
      </c>
      <c r="N97" s="1"/>
      <c r="O97" s="11"/>
      <c r="P97" s="56"/>
    </row>
    <row r="98" spans="1:16">
      <c r="A98" s="55"/>
      <c r="B98" s="1"/>
      <c r="C98" s="1"/>
      <c r="D98" s="1"/>
      <c r="E98" s="1"/>
      <c r="F98" s="1"/>
      <c r="G98" s="1"/>
      <c r="H98" s="1"/>
      <c r="I98" s="7"/>
      <c r="J98" s="5" t="str">
        <f>IF(H98="Estándar",'Costos y metas'!$B$14,IF(H98="Premium",'Costos y metas'!$B$15,IF(H98="Pack 2 Estándar",'Costos y metas'!$G$42,IF(H98="Pack mixto",'Costos y metas'!$G$43,""))))</f>
        <v/>
      </c>
      <c r="K98" s="5" t="str">
        <f t="shared" si="4"/>
        <v/>
      </c>
      <c r="L98" s="5" t="str">
        <f>IF(H98="Estándar",I98*'Costos y metas'!$E$26,IF(H98="Premium",I98*'Costos y metas'!$E$27,IF(H98="Pack 2 Estándar",I98*2*'Costos y metas'!$E$26,IF(H98="Pack mixto",I98*('Costos y metas'!$E$26+'Costos y metas'!$E$27),""))))</f>
        <v/>
      </c>
      <c r="M98" s="5" t="str">
        <f t="shared" si="5"/>
        <v/>
      </c>
      <c r="N98" s="1"/>
      <c r="O98" s="11"/>
      <c r="P98" s="56"/>
    </row>
    <row r="99" spans="1:16">
      <c r="A99" s="55"/>
      <c r="B99" s="1"/>
      <c r="C99" s="1"/>
      <c r="D99" s="1"/>
      <c r="E99" s="1"/>
      <c r="F99" s="1"/>
      <c r="G99" s="1"/>
      <c r="H99" s="1"/>
      <c r="I99" s="7"/>
      <c r="J99" s="5" t="str">
        <f>IF(H99="Estándar",'Costos y metas'!$B$14,IF(H99="Premium",'Costos y metas'!$B$15,IF(H99="Pack 2 Estándar",'Costos y metas'!$G$42,IF(H99="Pack mixto",'Costos y metas'!$G$43,""))))</f>
        <v/>
      </c>
      <c r="K99" s="5" t="str">
        <f t="shared" si="4"/>
        <v/>
      </c>
      <c r="L99" s="5" t="str">
        <f>IF(H99="Estándar",I99*'Costos y metas'!$E$26,IF(H99="Premium",I99*'Costos y metas'!$E$27,IF(H99="Pack 2 Estándar",I99*2*'Costos y metas'!$E$26,IF(H99="Pack mixto",I99*('Costos y metas'!$E$26+'Costos y metas'!$E$27),""))))</f>
        <v/>
      </c>
      <c r="M99" s="5" t="str">
        <f t="shared" si="5"/>
        <v/>
      </c>
      <c r="N99" s="1"/>
      <c r="O99" s="11"/>
      <c r="P99" s="56"/>
    </row>
    <row r="100" spans="1:16">
      <c r="A100" s="55"/>
      <c r="B100" s="1"/>
      <c r="C100" s="1"/>
      <c r="D100" s="1"/>
      <c r="E100" s="1"/>
      <c r="F100" s="1"/>
      <c r="G100" s="1"/>
      <c r="H100" s="1"/>
      <c r="I100" s="7"/>
      <c r="J100" s="5" t="str">
        <f>IF(H100="Estándar",'Costos y metas'!$B$14,IF(H100="Premium",'Costos y metas'!$B$15,IF(H100="Pack 2 Estándar",'Costos y metas'!$G$42,IF(H100="Pack mixto",'Costos y metas'!$G$43,""))))</f>
        <v/>
      </c>
      <c r="K100" s="5" t="str">
        <f t="shared" si="4"/>
        <v/>
      </c>
      <c r="L100" s="5" t="str">
        <f>IF(H100="Estándar",I100*'Costos y metas'!$E$26,IF(H100="Premium",I100*'Costos y metas'!$E$27,IF(H100="Pack 2 Estándar",I100*2*'Costos y metas'!$E$26,IF(H100="Pack mixto",I100*('Costos y metas'!$E$26+'Costos y metas'!$E$27),""))))</f>
        <v/>
      </c>
      <c r="M100" s="5" t="str">
        <f t="shared" si="5"/>
        <v/>
      </c>
      <c r="N100" s="1"/>
      <c r="O100" s="11"/>
      <c r="P100" s="56"/>
    </row>
    <row r="101" spans="1:16">
      <c r="A101" s="55"/>
      <c r="B101" s="1"/>
      <c r="C101" s="1"/>
      <c r="D101" s="1"/>
      <c r="E101" s="1"/>
      <c r="F101" s="1"/>
      <c r="G101" s="1"/>
      <c r="H101" s="1"/>
      <c r="I101" s="7"/>
      <c r="J101" s="5" t="str">
        <f>IF(H101="Estándar",'Costos y metas'!$B$14,IF(H101="Premium",'Costos y metas'!$B$15,IF(H101="Pack 2 Estándar",'Costos y metas'!$G$42,IF(H101="Pack mixto",'Costos y metas'!$G$43,""))))</f>
        <v/>
      </c>
      <c r="K101" s="5" t="str">
        <f t="shared" si="4"/>
        <v/>
      </c>
      <c r="L101" s="5" t="str">
        <f>IF(H101="Estándar",I101*'Costos y metas'!$E$26,IF(H101="Premium",I101*'Costos y metas'!$E$27,IF(H101="Pack 2 Estándar",I101*2*'Costos y metas'!$E$26,IF(H101="Pack mixto",I101*('Costos y metas'!$E$26+'Costos y metas'!$E$27),""))))</f>
        <v/>
      </c>
      <c r="M101" s="5" t="str">
        <f t="shared" si="5"/>
        <v/>
      </c>
      <c r="N101" s="1"/>
      <c r="O101" s="11"/>
      <c r="P101" s="56"/>
    </row>
    <row r="102" spans="1:16">
      <c r="A102" s="55"/>
      <c r="B102" s="1"/>
      <c r="C102" s="1"/>
      <c r="D102" s="1"/>
      <c r="E102" s="1"/>
      <c r="F102" s="1"/>
      <c r="G102" s="1"/>
      <c r="H102" s="1"/>
      <c r="I102" s="7"/>
      <c r="J102" s="5" t="str">
        <f>IF(H102="Estándar",'Costos y metas'!$B$14,IF(H102="Premium",'Costos y metas'!$B$15,IF(H102="Pack 2 Estándar",'Costos y metas'!$G$42,IF(H102="Pack mixto",'Costos y metas'!$G$43,""))))</f>
        <v/>
      </c>
      <c r="K102" s="5" t="str">
        <f t="shared" ref="K102:K133" si="6">IF(OR(I102="",J102=""),"",I102*J102)</f>
        <v/>
      </c>
      <c r="L102" s="5" t="str">
        <f>IF(H102="Estándar",I102*'Costos y metas'!$E$26,IF(H102="Premium",I102*'Costos y metas'!$E$27,IF(H102="Pack 2 Estándar",I102*2*'Costos y metas'!$E$26,IF(H102="Pack mixto",I102*('Costos y metas'!$E$26+'Costos y metas'!$E$27),""))))</f>
        <v/>
      </c>
      <c r="M102" s="5" t="str">
        <f t="shared" ref="M102:M133" si="7">IF(OR(K102="",L102=""),"",K102-L102)</f>
        <v/>
      </c>
      <c r="N102" s="1"/>
      <c r="O102" s="11"/>
      <c r="P102" s="56"/>
    </row>
    <row r="103" spans="1:16">
      <c r="A103" s="55"/>
      <c r="B103" s="1"/>
      <c r="C103" s="1"/>
      <c r="D103" s="1"/>
      <c r="E103" s="1"/>
      <c r="F103" s="1"/>
      <c r="G103" s="1"/>
      <c r="H103" s="1"/>
      <c r="I103" s="7"/>
      <c r="J103" s="5" t="str">
        <f>IF(H103="Estándar",'Costos y metas'!$B$14,IF(H103="Premium",'Costos y metas'!$B$15,IF(H103="Pack 2 Estándar",'Costos y metas'!$G$42,IF(H103="Pack mixto",'Costos y metas'!$G$43,""))))</f>
        <v/>
      </c>
      <c r="K103" s="5" t="str">
        <f t="shared" si="6"/>
        <v/>
      </c>
      <c r="L103" s="5" t="str">
        <f>IF(H103="Estándar",I103*'Costos y metas'!$E$26,IF(H103="Premium",I103*'Costos y metas'!$E$27,IF(H103="Pack 2 Estándar",I103*2*'Costos y metas'!$E$26,IF(H103="Pack mixto",I103*('Costos y metas'!$E$26+'Costos y metas'!$E$27),""))))</f>
        <v/>
      </c>
      <c r="M103" s="5" t="str">
        <f t="shared" si="7"/>
        <v/>
      </c>
      <c r="N103" s="1"/>
      <c r="O103" s="11"/>
      <c r="P103" s="56"/>
    </row>
    <row r="104" spans="1:16">
      <c r="A104" s="55"/>
      <c r="B104" s="1"/>
      <c r="C104" s="1"/>
      <c r="D104" s="1"/>
      <c r="E104" s="1"/>
      <c r="F104" s="1"/>
      <c r="G104" s="1"/>
      <c r="H104" s="1"/>
      <c r="I104" s="7"/>
      <c r="J104" s="5" t="str">
        <f>IF(H104="Estándar",'Costos y metas'!$B$14,IF(H104="Premium",'Costos y metas'!$B$15,IF(H104="Pack 2 Estándar",'Costos y metas'!$G$42,IF(H104="Pack mixto",'Costos y metas'!$G$43,""))))</f>
        <v/>
      </c>
      <c r="K104" s="5" t="str">
        <f t="shared" si="6"/>
        <v/>
      </c>
      <c r="L104" s="5" t="str">
        <f>IF(H104="Estándar",I104*'Costos y metas'!$E$26,IF(H104="Premium",I104*'Costos y metas'!$E$27,IF(H104="Pack 2 Estándar",I104*2*'Costos y metas'!$E$26,IF(H104="Pack mixto",I104*('Costos y metas'!$E$26+'Costos y metas'!$E$27),""))))</f>
        <v/>
      </c>
      <c r="M104" s="5" t="str">
        <f t="shared" si="7"/>
        <v/>
      </c>
      <c r="N104" s="1"/>
      <c r="O104" s="11"/>
      <c r="P104" s="56"/>
    </row>
    <row r="105" spans="1:16">
      <c r="A105" s="55"/>
      <c r="B105" s="1"/>
      <c r="C105" s="1"/>
      <c r="D105" s="1"/>
      <c r="E105" s="1"/>
      <c r="F105" s="1"/>
      <c r="G105" s="1"/>
      <c r="H105" s="1"/>
      <c r="I105" s="7"/>
      <c r="J105" s="5" t="str">
        <f>IF(H105="Estándar",'Costos y metas'!$B$14,IF(H105="Premium",'Costos y metas'!$B$15,IF(H105="Pack 2 Estándar",'Costos y metas'!$G$42,IF(H105="Pack mixto",'Costos y metas'!$G$43,""))))</f>
        <v/>
      </c>
      <c r="K105" s="5" t="str">
        <f t="shared" si="6"/>
        <v/>
      </c>
      <c r="L105" s="5" t="str">
        <f>IF(H105="Estándar",I105*'Costos y metas'!$E$26,IF(H105="Premium",I105*'Costos y metas'!$E$27,IF(H105="Pack 2 Estándar",I105*2*'Costos y metas'!$E$26,IF(H105="Pack mixto",I105*('Costos y metas'!$E$26+'Costos y metas'!$E$27),""))))</f>
        <v/>
      </c>
      <c r="M105" s="5" t="str">
        <f t="shared" si="7"/>
        <v/>
      </c>
      <c r="N105" s="1"/>
      <c r="O105" s="11"/>
      <c r="P105" s="56"/>
    </row>
    <row r="106" spans="1:16">
      <c r="A106" s="55"/>
      <c r="B106" s="1"/>
      <c r="C106" s="1"/>
      <c r="D106" s="1"/>
      <c r="E106" s="1"/>
      <c r="F106" s="1"/>
      <c r="G106" s="1"/>
      <c r="H106" s="1"/>
      <c r="I106" s="7"/>
      <c r="J106" s="5" t="str">
        <f>IF(H106="Estándar",'Costos y metas'!$B$14,IF(H106="Premium",'Costos y metas'!$B$15,IF(H106="Pack 2 Estándar",'Costos y metas'!$G$42,IF(H106="Pack mixto",'Costos y metas'!$G$43,""))))</f>
        <v/>
      </c>
      <c r="K106" s="5" t="str">
        <f t="shared" si="6"/>
        <v/>
      </c>
      <c r="L106" s="5" t="str">
        <f>IF(H106="Estándar",I106*'Costos y metas'!$E$26,IF(H106="Premium",I106*'Costos y metas'!$E$27,IF(H106="Pack 2 Estándar",I106*2*'Costos y metas'!$E$26,IF(H106="Pack mixto",I106*('Costos y metas'!$E$26+'Costos y metas'!$E$27),""))))</f>
        <v/>
      </c>
      <c r="M106" s="5" t="str">
        <f t="shared" si="7"/>
        <v/>
      </c>
      <c r="N106" s="1"/>
      <c r="O106" s="11"/>
      <c r="P106" s="56"/>
    </row>
    <row r="107" spans="1:16">
      <c r="A107" s="55"/>
      <c r="B107" s="1"/>
      <c r="C107" s="1"/>
      <c r="D107" s="1"/>
      <c r="E107" s="1"/>
      <c r="F107" s="1"/>
      <c r="G107" s="1"/>
      <c r="H107" s="1"/>
      <c r="I107" s="7"/>
      <c r="J107" s="5" t="str">
        <f>IF(H107="Estándar",'Costos y metas'!$B$14,IF(H107="Premium",'Costos y metas'!$B$15,IF(H107="Pack 2 Estándar",'Costos y metas'!$G$42,IF(H107="Pack mixto",'Costos y metas'!$G$43,""))))</f>
        <v/>
      </c>
      <c r="K107" s="5" t="str">
        <f t="shared" si="6"/>
        <v/>
      </c>
      <c r="L107" s="5" t="str">
        <f>IF(H107="Estándar",I107*'Costos y metas'!$E$26,IF(H107="Premium",I107*'Costos y metas'!$E$27,IF(H107="Pack 2 Estándar",I107*2*'Costos y metas'!$E$26,IF(H107="Pack mixto",I107*('Costos y metas'!$E$26+'Costos y metas'!$E$27),""))))</f>
        <v/>
      </c>
      <c r="M107" s="5" t="str">
        <f t="shared" si="7"/>
        <v/>
      </c>
      <c r="N107" s="1"/>
      <c r="O107" s="11"/>
      <c r="P107" s="56"/>
    </row>
    <row r="108" spans="1:16">
      <c r="A108" s="55"/>
      <c r="B108" s="1"/>
      <c r="C108" s="1"/>
      <c r="D108" s="1"/>
      <c r="E108" s="1"/>
      <c r="F108" s="1"/>
      <c r="G108" s="1"/>
      <c r="H108" s="1"/>
      <c r="I108" s="7"/>
      <c r="J108" s="5" t="str">
        <f>IF(H108="Estándar",'Costos y metas'!$B$14,IF(H108="Premium",'Costos y metas'!$B$15,IF(H108="Pack 2 Estándar",'Costos y metas'!$G$42,IF(H108="Pack mixto",'Costos y metas'!$G$43,""))))</f>
        <v/>
      </c>
      <c r="K108" s="5" t="str">
        <f t="shared" si="6"/>
        <v/>
      </c>
      <c r="L108" s="5" t="str">
        <f>IF(H108="Estándar",I108*'Costos y metas'!$E$26,IF(H108="Premium",I108*'Costos y metas'!$E$27,IF(H108="Pack 2 Estándar",I108*2*'Costos y metas'!$E$26,IF(H108="Pack mixto",I108*('Costos y metas'!$E$26+'Costos y metas'!$E$27),""))))</f>
        <v/>
      </c>
      <c r="M108" s="5" t="str">
        <f t="shared" si="7"/>
        <v/>
      </c>
      <c r="N108" s="1"/>
      <c r="O108" s="11"/>
      <c r="P108" s="56"/>
    </row>
    <row r="109" spans="1:16">
      <c r="A109" s="55"/>
      <c r="B109" s="1"/>
      <c r="C109" s="1"/>
      <c r="D109" s="1"/>
      <c r="E109" s="1"/>
      <c r="F109" s="1"/>
      <c r="G109" s="1"/>
      <c r="H109" s="1"/>
      <c r="I109" s="7"/>
      <c r="J109" s="5" t="str">
        <f>IF(H109="Estándar",'Costos y metas'!$B$14,IF(H109="Premium",'Costos y metas'!$B$15,IF(H109="Pack 2 Estándar",'Costos y metas'!$G$42,IF(H109="Pack mixto",'Costos y metas'!$G$43,""))))</f>
        <v/>
      </c>
      <c r="K109" s="5" t="str">
        <f t="shared" si="6"/>
        <v/>
      </c>
      <c r="L109" s="5" t="str">
        <f>IF(H109="Estándar",I109*'Costos y metas'!$E$26,IF(H109="Premium",I109*'Costos y metas'!$E$27,IF(H109="Pack 2 Estándar",I109*2*'Costos y metas'!$E$26,IF(H109="Pack mixto",I109*('Costos y metas'!$E$26+'Costos y metas'!$E$27),""))))</f>
        <v/>
      </c>
      <c r="M109" s="5" t="str">
        <f t="shared" si="7"/>
        <v/>
      </c>
      <c r="N109" s="1"/>
      <c r="O109" s="11"/>
      <c r="P109" s="56"/>
    </row>
    <row r="110" spans="1:16">
      <c r="A110" s="55"/>
      <c r="B110" s="1"/>
      <c r="C110" s="1"/>
      <c r="D110" s="1"/>
      <c r="E110" s="1"/>
      <c r="F110" s="1"/>
      <c r="G110" s="1"/>
      <c r="H110" s="1"/>
      <c r="I110" s="7"/>
      <c r="J110" s="5" t="str">
        <f>IF(H110="Estándar",'Costos y metas'!$B$14,IF(H110="Premium",'Costos y metas'!$B$15,IF(H110="Pack 2 Estándar",'Costos y metas'!$G$42,IF(H110="Pack mixto",'Costos y metas'!$G$43,""))))</f>
        <v/>
      </c>
      <c r="K110" s="5" t="str">
        <f t="shared" si="6"/>
        <v/>
      </c>
      <c r="L110" s="5" t="str">
        <f>IF(H110="Estándar",I110*'Costos y metas'!$E$26,IF(H110="Premium",I110*'Costos y metas'!$E$27,IF(H110="Pack 2 Estándar",I110*2*'Costos y metas'!$E$26,IF(H110="Pack mixto",I110*('Costos y metas'!$E$26+'Costos y metas'!$E$27),""))))</f>
        <v/>
      </c>
      <c r="M110" s="5" t="str">
        <f t="shared" si="7"/>
        <v/>
      </c>
      <c r="N110" s="1"/>
      <c r="O110" s="11"/>
      <c r="P110" s="56"/>
    </row>
    <row r="111" spans="1:16">
      <c r="A111" s="55"/>
      <c r="B111" s="1"/>
      <c r="C111" s="1"/>
      <c r="D111" s="1"/>
      <c r="E111" s="1"/>
      <c r="F111" s="1"/>
      <c r="G111" s="1"/>
      <c r="H111" s="1"/>
      <c r="I111" s="7"/>
      <c r="J111" s="5" t="str">
        <f>IF(H111="Estándar",'Costos y metas'!$B$14,IF(H111="Premium",'Costos y metas'!$B$15,IF(H111="Pack 2 Estándar",'Costos y metas'!$G$42,IF(H111="Pack mixto",'Costos y metas'!$G$43,""))))</f>
        <v/>
      </c>
      <c r="K111" s="5" t="str">
        <f t="shared" si="6"/>
        <v/>
      </c>
      <c r="L111" s="5" t="str">
        <f>IF(H111="Estándar",I111*'Costos y metas'!$E$26,IF(H111="Premium",I111*'Costos y metas'!$E$27,IF(H111="Pack 2 Estándar",I111*2*'Costos y metas'!$E$26,IF(H111="Pack mixto",I111*('Costos y metas'!$E$26+'Costos y metas'!$E$27),""))))</f>
        <v/>
      </c>
      <c r="M111" s="5" t="str">
        <f t="shared" si="7"/>
        <v/>
      </c>
      <c r="N111" s="1"/>
      <c r="O111" s="11"/>
      <c r="P111" s="56"/>
    </row>
    <row r="112" spans="1:16">
      <c r="A112" s="55"/>
      <c r="B112" s="1"/>
      <c r="C112" s="1"/>
      <c r="D112" s="1"/>
      <c r="E112" s="1"/>
      <c r="F112" s="1"/>
      <c r="G112" s="1"/>
      <c r="H112" s="1"/>
      <c r="I112" s="7"/>
      <c r="J112" s="5" t="str">
        <f>IF(H112="Estándar",'Costos y metas'!$B$14,IF(H112="Premium",'Costos y metas'!$B$15,IF(H112="Pack 2 Estándar",'Costos y metas'!$G$42,IF(H112="Pack mixto",'Costos y metas'!$G$43,""))))</f>
        <v/>
      </c>
      <c r="K112" s="5" t="str">
        <f t="shared" si="6"/>
        <v/>
      </c>
      <c r="L112" s="5" t="str">
        <f>IF(H112="Estándar",I112*'Costos y metas'!$E$26,IF(H112="Premium",I112*'Costos y metas'!$E$27,IF(H112="Pack 2 Estándar",I112*2*'Costos y metas'!$E$26,IF(H112="Pack mixto",I112*('Costos y metas'!$E$26+'Costos y metas'!$E$27),""))))</f>
        <v/>
      </c>
      <c r="M112" s="5" t="str">
        <f t="shared" si="7"/>
        <v/>
      </c>
      <c r="N112" s="1"/>
      <c r="O112" s="11"/>
      <c r="P112" s="56"/>
    </row>
    <row r="113" spans="1:16">
      <c r="A113" s="55"/>
      <c r="B113" s="1"/>
      <c r="C113" s="1"/>
      <c r="D113" s="1"/>
      <c r="E113" s="1"/>
      <c r="F113" s="1"/>
      <c r="G113" s="1"/>
      <c r="H113" s="1"/>
      <c r="I113" s="7"/>
      <c r="J113" s="5" t="str">
        <f>IF(H113="Estándar",'Costos y metas'!$B$14,IF(H113="Premium",'Costos y metas'!$B$15,IF(H113="Pack 2 Estándar",'Costos y metas'!$G$42,IF(H113="Pack mixto",'Costos y metas'!$G$43,""))))</f>
        <v/>
      </c>
      <c r="K113" s="5" t="str">
        <f t="shared" si="6"/>
        <v/>
      </c>
      <c r="L113" s="5" t="str">
        <f>IF(H113="Estándar",I113*'Costos y metas'!$E$26,IF(H113="Premium",I113*'Costos y metas'!$E$27,IF(H113="Pack 2 Estándar",I113*2*'Costos y metas'!$E$26,IF(H113="Pack mixto",I113*('Costos y metas'!$E$26+'Costos y metas'!$E$27),""))))</f>
        <v/>
      </c>
      <c r="M113" s="5" t="str">
        <f t="shared" si="7"/>
        <v/>
      </c>
      <c r="N113" s="1"/>
      <c r="O113" s="11"/>
      <c r="P113" s="56"/>
    </row>
    <row r="114" spans="1:16">
      <c r="A114" s="55"/>
      <c r="B114" s="1"/>
      <c r="C114" s="1"/>
      <c r="D114" s="1"/>
      <c r="E114" s="1"/>
      <c r="F114" s="1"/>
      <c r="G114" s="1"/>
      <c r="H114" s="1"/>
      <c r="I114" s="7"/>
      <c r="J114" s="5" t="str">
        <f>IF(H114="Estándar",'Costos y metas'!$B$14,IF(H114="Premium",'Costos y metas'!$B$15,IF(H114="Pack 2 Estándar",'Costos y metas'!$G$42,IF(H114="Pack mixto",'Costos y metas'!$G$43,""))))</f>
        <v/>
      </c>
      <c r="K114" s="5" t="str">
        <f t="shared" si="6"/>
        <v/>
      </c>
      <c r="L114" s="5" t="str">
        <f>IF(H114="Estándar",I114*'Costos y metas'!$E$26,IF(H114="Premium",I114*'Costos y metas'!$E$27,IF(H114="Pack 2 Estándar",I114*2*'Costos y metas'!$E$26,IF(H114="Pack mixto",I114*('Costos y metas'!$E$26+'Costos y metas'!$E$27),""))))</f>
        <v/>
      </c>
      <c r="M114" s="5" t="str">
        <f t="shared" si="7"/>
        <v/>
      </c>
      <c r="N114" s="1"/>
      <c r="O114" s="11"/>
      <c r="P114" s="56"/>
    </row>
    <row r="115" spans="1:16">
      <c r="A115" s="55"/>
      <c r="B115" s="1"/>
      <c r="C115" s="1"/>
      <c r="D115" s="1"/>
      <c r="E115" s="1"/>
      <c r="F115" s="1"/>
      <c r="G115" s="1"/>
      <c r="H115" s="1"/>
      <c r="I115" s="7"/>
      <c r="J115" s="5" t="str">
        <f>IF(H115="Estándar",'Costos y metas'!$B$14,IF(H115="Premium",'Costos y metas'!$B$15,IF(H115="Pack 2 Estándar",'Costos y metas'!$G$42,IF(H115="Pack mixto",'Costos y metas'!$G$43,""))))</f>
        <v/>
      </c>
      <c r="K115" s="5" t="str">
        <f t="shared" si="6"/>
        <v/>
      </c>
      <c r="L115" s="5" t="str">
        <f>IF(H115="Estándar",I115*'Costos y metas'!$E$26,IF(H115="Premium",I115*'Costos y metas'!$E$27,IF(H115="Pack 2 Estándar",I115*2*'Costos y metas'!$E$26,IF(H115="Pack mixto",I115*('Costos y metas'!$E$26+'Costos y metas'!$E$27),""))))</f>
        <v/>
      </c>
      <c r="M115" s="5" t="str">
        <f t="shared" si="7"/>
        <v/>
      </c>
      <c r="N115" s="1"/>
      <c r="O115" s="11"/>
      <c r="P115" s="56"/>
    </row>
    <row r="116" spans="1:16">
      <c r="A116" s="55"/>
      <c r="B116" s="1"/>
      <c r="C116" s="1"/>
      <c r="D116" s="1"/>
      <c r="E116" s="1"/>
      <c r="F116" s="1"/>
      <c r="G116" s="1"/>
      <c r="H116" s="1"/>
      <c r="I116" s="7"/>
      <c r="J116" s="5" t="str">
        <f>IF(H116="Estándar",'Costos y metas'!$B$14,IF(H116="Premium",'Costos y metas'!$B$15,IF(H116="Pack 2 Estándar",'Costos y metas'!$G$42,IF(H116="Pack mixto",'Costos y metas'!$G$43,""))))</f>
        <v/>
      </c>
      <c r="K116" s="5" t="str">
        <f t="shared" si="6"/>
        <v/>
      </c>
      <c r="L116" s="5" t="str">
        <f>IF(H116="Estándar",I116*'Costos y metas'!$E$26,IF(H116="Premium",I116*'Costos y metas'!$E$27,IF(H116="Pack 2 Estándar",I116*2*'Costos y metas'!$E$26,IF(H116="Pack mixto",I116*('Costos y metas'!$E$26+'Costos y metas'!$E$27),""))))</f>
        <v/>
      </c>
      <c r="M116" s="5" t="str">
        <f t="shared" si="7"/>
        <v/>
      </c>
      <c r="N116" s="1"/>
      <c r="O116" s="11"/>
      <c r="P116" s="56"/>
    </row>
    <row r="117" spans="1:16">
      <c r="A117" s="55"/>
      <c r="B117" s="1"/>
      <c r="C117" s="1"/>
      <c r="D117" s="1"/>
      <c r="E117" s="1"/>
      <c r="F117" s="1"/>
      <c r="G117" s="1"/>
      <c r="H117" s="1"/>
      <c r="I117" s="7"/>
      <c r="J117" s="5" t="str">
        <f>IF(H117="Estándar",'Costos y metas'!$B$14,IF(H117="Premium",'Costos y metas'!$B$15,IF(H117="Pack 2 Estándar",'Costos y metas'!$G$42,IF(H117="Pack mixto",'Costos y metas'!$G$43,""))))</f>
        <v/>
      </c>
      <c r="K117" s="5" t="str">
        <f t="shared" si="6"/>
        <v/>
      </c>
      <c r="L117" s="5" t="str">
        <f>IF(H117="Estándar",I117*'Costos y metas'!$E$26,IF(H117="Premium",I117*'Costos y metas'!$E$27,IF(H117="Pack 2 Estándar",I117*2*'Costos y metas'!$E$26,IF(H117="Pack mixto",I117*('Costos y metas'!$E$26+'Costos y metas'!$E$27),""))))</f>
        <v/>
      </c>
      <c r="M117" s="5" t="str">
        <f t="shared" si="7"/>
        <v/>
      </c>
      <c r="N117" s="1"/>
      <c r="O117" s="11"/>
      <c r="P117" s="56"/>
    </row>
    <row r="118" spans="1:16">
      <c r="A118" s="55"/>
      <c r="B118" s="1"/>
      <c r="C118" s="1"/>
      <c r="D118" s="1"/>
      <c r="E118" s="1"/>
      <c r="F118" s="1"/>
      <c r="G118" s="1"/>
      <c r="H118" s="1"/>
      <c r="I118" s="7"/>
      <c r="J118" s="5" t="str">
        <f>IF(H118="Estándar",'Costos y metas'!$B$14,IF(H118="Premium",'Costos y metas'!$B$15,IF(H118="Pack 2 Estándar",'Costos y metas'!$G$42,IF(H118="Pack mixto",'Costos y metas'!$G$43,""))))</f>
        <v/>
      </c>
      <c r="K118" s="5" t="str">
        <f t="shared" si="6"/>
        <v/>
      </c>
      <c r="L118" s="5" t="str">
        <f>IF(H118="Estándar",I118*'Costos y metas'!$E$26,IF(H118="Premium",I118*'Costos y metas'!$E$27,IF(H118="Pack 2 Estándar",I118*2*'Costos y metas'!$E$26,IF(H118="Pack mixto",I118*('Costos y metas'!$E$26+'Costos y metas'!$E$27),""))))</f>
        <v/>
      </c>
      <c r="M118" s="5" t="str">
        <f t="shared" si="7"/>
        <v/>
      </c>
      <c r="N118" s="1"/>
      <c r="O118" s="11"/>
      <c r="P118" s="56"/>
    </row>
    <row r="119" spans="1:16">
      <c r="A119" s="55"/>
      <c r="B119" s="1"/>
      <c r="C119" s="1"/>
      <c r="D119" s="1"/>
      <c r="E119" s="1"/>
      <c r="F119" s="1"/>
      <c r="G119" s="1"/>
      <c r="H119" s="1"/>
      <c r="I119" s="7"/>
      <c r="J119" s="5" t="str">
        <f>IF(H119="Estándar",'Costos y metas'!$B$14,IF(H119="Premium",'Costos y metas'!$B$15,IF(H119="Pack 2 Estándar",'Costos y metas'!$G$42,IF(H119="Pack mixto",'Costos y metas'!$G$43,""))))</f>
        <v/>
      </c>
      <c r="K119" s="5" t="str">
        <f t="shared" si="6"/>
        <v/>
      </c>
      <c r="L119" s="5" t="str">
        <f>IF(H119="Estándar",I119*'Costos y metas'!$E$26,IF(H119="Premium",I119*'Costos y metas'!$E$27,IF(H119="Pack 2 Estándar",I119*2*'Costos y metas'!$E$26,IF(H119="Pack mixto",I119*('Costos y metas'!$E$26+'Costos y metas'!$E$27),""))))</f>
        <v/>
      </c>
      <c r="M119" s="5" t="str">
        <f t="shared" si="7"/>
        <v/>
      </c>
      <c r="N119" s="1"/>
      <c r="O119" s="11"/>
      <c r="P119" s="56"/>
    </row>
    <row r="120" spans="1:16">
      <c r="A120" s="55"/>
      <c r="B120" s="1"/>
      <c r="C120" s="1"/>
      <c r="D120" s="1"/>
      <c r="E120" s="1"/>
      <c r="F120" s="1"/>
      <c r="G120" s="1"/>
      <c r="H120" s="1"/>
      <c r="I120" s="7"/>
      <c r="J120" s="5" t="str">
        <f>IF(H120="Estándar",'Costos y metas'!$B$14,IF(H120="Premium",'Costos y metas'!$B$15,IF(H120="Pack 2 Estándar",'Costos y metas'!$G$42,IF(H120="Pack mixto",'Costos y metas'!$G$43,""))))</f>
        <v/>
      </c>
      <c r="K120" s="5" t="str">
        <f t="shared" si="6"/>
        <v/>
      </c>
      <c r="L120" s="5" t="str">
        <f>IF(H120="Estándar",I120*'Costos y metas'!$E$26,IF(H120="Premium",I120*'Costos y metas'!$E$27,IF(H120="Pack 2 Estándar",I120*2*'Costos y metas'!$E$26,IF(H120="Pack mixto",I120*('Costos y metas'!$E$26+'Costos y metas'!$E$27),""))))</f>
        <v/>
      </c>
      <c r="M120" s="5" t="str">
        <f t="shared" si="7"/>
        <v/>
      </c>
      <c r="N120" s="1"/>
      <c r="O120" s="11"/>
      <c r="P120" s="56"/>
    </row>
    <row r="121" spans="1:16">
      <c r="A121" s="55"/>
      <c r="B121" s="1"/>
      <c r="C121" s="1"/>
      <c r="D121" s="1"/>
      <c r="E121" s="1"/>
      <c r="F121" s="1"/>
      <c r="G121" s="1"/>
      <c r="H121" s="1"/>
      <c r="I121" s="7"/>
      <c r="J121" s="5" t="str">
        <f>IF(H121="Estándar",'Costos y metas'!$B$14,IF(H121="Premium",'Costos y metas'!$B$15,IF(H121="Pack 2 Estándar",'Costos y metas'!$G$42,IF(H121="Pack mixto",'Costos y metas'!$G$43,""))))</f>
        <v/>
      </c>
      <c r="K121" s="5" t="str">
        <f t="shared" si="6"/>
        <v/>
      </c>
      <c r="L121" s="5" t="str">
        <f>IF(H121="Estándar",I121*'Costos y metas'!$E$26,IF(H121="Premium",I121*'Costos y metas'!$E$27,IF(H121="Pack 2 Estándar",I121*2*'Costos y metas'!$E$26,IF(H121="Pack mixto",I121*('Costos y metas'!$E$26+'Costos y metas'!$E$27),""))))</f>
        <v/>
      </c>
      <c r="M121" s="5" t="str">
        <f t="shared" si="7"/>
        <v/>
      </c>
      <c r="N121" s="1"/>
      <c r="O121" s="11"/>
      <c r="P121" s="56"/>
    </row>
    <row r="122" spans="1:16">
      <c r="A122" s="55"/>
      <c r="B122" s="1"/>
      <c r="C122" s="1"/>
      <c r="D122" s="1"/>
      <c r="E122" s="1"/>
      <c r="F122" s="1"/>
      <c r="G122" s="1"/>
      <c r="H122" s="1"/>
      <c r="I122" s="7"/>
      <c r="J122" s="5" t="str">
        <f>IF(H122="Estándar",'Costos y metas'!$B$14,IF(H122="Premium",'Costos y metas'!$B$15,IF(H122="Pack 2 Estándar",'Costos y metas'!$G$42,IF(H122="Pack mixto",'Costos y metas'!$G$43,""))))</f>
        <v/>
      </c>
      <c r="K122" s="5" t="str">
        <f t="shared" si="6"/>
        <v/>
      </c>
      <c r="L122" s="5" t="str">
        <f>IF(H122="Estándar",I122*'Costos y metas'!$E$26,IF(H122="Premium",I122*'Costos y metas'!$E$27,IF(H122="Pack 2 Estándar",I122*2*'Costos y metas'!$E$26,IF(H122="Pack mixto",I122*('Costos y metas'!$E$26+'Costos y metas'!$E$27),""))))</f>
        <v/>
      </c>
      <c r="M122" s="5" t="str">
        <f t="shared" si="7"/>
        <v/>
      </c>
      <c r="N122" s="1"/>
      <c r="O122" s="11"/>
      <c r="P122" s="56"/>
    </row>
    <row r="123" spans="1:16">
      <c r="A123" s="55"/>
      <c r="B123" s="1"/>
      <c r="C123" s="1"/>
      <c r="D123" s="1"/>
      <c r="E123" s="1"/>
      <c r="F123" s="1"/>
      <c r="G123" s="1"/>
      <c r="H123" s="1"/>
      <c r="I123" s="7"/>
      <c r="J123" s="5" t="str">
        <f>IF(H123="Estándar",'Costos y metas'!$B$14,IF(H123="Premium",'Costos y metas'!$B$15,IF(H123="Pack 2 Estándar",'Costos y metas'!$G$42,IF(H123="Pack mixto",'Costos y metas'!$G$43,""))))</f>
        <v/>
      </c>
      <c r="K123" s="5" t="str">
        <f t="shared" si="6"/>
        <v/>
      </c>
      <c r="L123" s="5" t="str">
        <f>IF(H123="Estándar",I123*'Costos y metas'!$E$26,IF(H123="Premium",I123*'Costos y metas'!$E$27,IF(H123="Pack 2 Estándar",I123*2*'Costos y metas'!$E$26,IF(H123="Pack mixto",I123*('Costos y metas'!$E$26+'Costos y metas'!$E$27),""))))</f>
        <v/>
      </c>
      <c r="M123" s="5" t="str">
        <f t="shared" si="7"/>
        <v/>
      </c>
      <c r="N123" s="1"/>
      <c r="O123" s="11"/>
      <c r="P123" s="56"/>
    </row>
    <row r="124" spans="1:16">
      <c r="A124" s="55"/>
      <c r="B124" s="1"/>
      <c r="C124" s="1"/>
      <c r="D124" s="1"/>
      <c r="E124" s="1"/>
      <c r="F124" s="1"/>
      <c r="G124" s="1"/>
      <c r="H124" s="1"/>
      <c r="I124" s="7"/>
      <c r="J124" s="5" t="str">
        <f>IF(H124="Estándar",'Costos y metas'!$B$14,IF(H124="Premium",'Costos y metas'!$B$15,IF(H124="Pack 2 Estándar",'Costos y metas'!$G$42,IF(H124="Pack mixto",'Costos y metas'!$G$43,""))))</f>
        <v/>
      </c>
      <c r="K124" s="5" t="str">
        <f t="shared" si="6"/>
        <v/>
      </c>
      <c r="L124" s="5" t="str">
        <f>IF(H124="Estándar",I124*'Costos y metas'!$E$26,IF(H124="Premium",I124*'Costos y metas'!$E$27,IF(H124="Pack 2 Estándar",I124*2*'Costos y metas'!$E$26,IF(H124="Pack mixto",I124*('Costos y metas'!$E$26+'Costos y metas'!$E$27),""))))</f>
        <v/>
      </c>
      <c r="M124" s="5" t="str">
        <f t="shared" si="7"/>
        <v/>
      </c>
      <c r="N124" s="1"/>
      <c r="O124" s="11"/>
      <c r="P124" s="56"/>
    </row>
    <row r="125" spans="1:16">
      <c r="A125" s="55"/>
      <c r="B125" s="1"/>
      <c r="C125" s="1"/>
      <c r="D125" s="1"/>
      <c r="E125" s="1"/>
      <c r="F125" s="1"/>
      <c r="G125" s="1"/>
      <c r="H125" s="1"/>
      <c r="I125" s="7"/>
      <c r="J125" s="5" t="str">
        <f>IF(H125="Estándar",'Costos y metas'!$B$14,IF(H125="Premium",'Costos y metas'!$B$15,IF(H125="Pack 2 Estándar",'Costos y metas'!$G$42,IF(H125="Pack mixto",'Costos y metas'!$G$43,""))))</f>
        <v/>
      </c>
      <c r="K125" s="5" t="str">
        <f t="shared" si="6"/>
        <v/>
      </c>
      <c r="L125" s="5" t="str">
        <f>IF(H125="Estándar",I125*'Costos y metas'!$E$26,IF(H125="Premium",I125*'Costos y metas'!$E$27,IF(H125="Pack 2 Estándar",I125*2*'Costos y metas'!$E$26,IF(H125="Pack mixto",I125*('Costos y metas'!$E$26+'Costos y metas'!$E$27),""))))</f>
        <v/>
      </c>
      <c r="M125" s="5" t="str">
        <f t="shared" si="7"/>
        <v/>
      </c>
      <c r="N125" s="1"/>
      <c r="O125" s="11"/>
      <c r="P125" s="56"/>
    </row>
    <row r="126" spans="1:16">
      <c r="A126" s="55"/>
      <c r="B126" s="1"/>
      <c r="C126" s="1"/>
      <c r="D126" s="1"/>
      <c r="E126" s="1"/>
      <c r="F126" s="1"/>
      <c r="G126" s="1"/>
      <c r="H126" s="1"/>
      <c r="I126" s="7"/>
      <c r="J126" s="5" t="str">
        <f>IF(H126="Estándar",'Costos y metas'!$B$14,IF(H126="Premium",'Costos y metas'!$B$15,IF(H126="Pack 2 Estándar",'Costos y metas'!$G$42,IF(H126="Pack mixto",'Costos y metas'!$G$43,""))))</f>
        <v/>
      </c>
      <c r="K126" s="5" t="str">
        <f t="shared" si="6"/>
        <v/>
      </c>
      <c r="L126" s="5" t="str">
        <f>IF(H126="Estándar",I126*'Costos y metas'!$E$26,IF(H126="Premium",I126*'Costos y metas'!$E$27,IF(H126="Pack 2 Estándar",I126*2*'Costos y metas'!$E$26,IF(H126="Pack mixto",I126*('Costos y metas'!$E$26+'Costos y metas'!$E$27),""))))</f>
        <v/>
      </c>
      <c r="M126" s="5" t="str">
        <f t="shared" si="7"/>
        <v/>
      </c>
      <c r="N126" s="1"/>
      <c r="O126" s="11"/>
      <c r="P126" s="56"/>
    </row>
    <row r="127" spans="1:16">
      <c r="A127" s="55"/>
      <c r="B127" s="1"/>
      <c r="C127" s="1"/>
      <c r="D127" s="1"/>
      <c r="E127" s="1"/>
      <c r="F127" s="1"/>
      <c r="G127" s="1"/>
      <c r="H127" s="1"/>
      <c r="I127" s="7"/>
      <c r="J127" s="5" t="str">
        <f>IF(H127="Estándar",'Costos y metas'!$B$14,IF(H127="Premium",'Costos y metas'!$B$15,IF(H127="Pack 2 Estándar",'Costos y metas'!$G$42,IF(H127="Pack mixto",'Costos y metas'!$G$43,""))))</f>
        <v/>
      </c>
      <c r="K127" s="5" t="str">
        <f t="shared" si="6"/>
        <v/>
      </c>
      <c r="L127" s="5" t="str">
        <f>IF(H127="Estándar",I127*'Costos y metas'!$E$26,IF(H127="Premium",I127*'Costos y metas'!$E$27,IF(H127="Pack 2 Estándar",I127*2*'Costos y metas'!$E$26,IF(H127="Pack mixto",I127*('Costos y metas'!$E$26+'Costos y metas'!$E$27),""))))</f>
        <v/>
      </c>
      <c r="M127" s="5" t="str">
        <f t="shared" si="7"/>
        <v/>
      </c>
      <c r="N127" s="1"/>
      <c r="O127" s="11"/>
      <c r="P127" s="56"/>
    </row>
    <row r="128" spans="1:16">
      <c r="A128" s="55"/>
      <c r="B128" s="1"/>
      <c r="C128" s="1"/>
      <c r="D128" s="1"/>
      <c r="E128" s="1"/>
      <c r="F128" s="1"/>
      <c r="G128" s="1"/>
      <c r="H128" s="1"/>
      <c r="I128" s="7"/>
      <c r="J128" s="5" t="str">
        <f>IF(H128="Estándar",'Costos y metas'!$B$14,IF(H128="Premium",'Costos y metas'!$B$15,IF(H128="Pack 2 Estándar",'Costos y metas'!$G$42,IF(H128="Pack mixto",'Costos y metas'!$G$43,""))))</f>
        <v/>
      </c>
      <c r="K128" s="5" t="str">
        <f t="shared" si="6"/>
        <v/>
      </c>
      <c r="L128" s="5" t="str">
        <f>IF(H128="Estándar",I128*'Costos y metas'!$E$26,IF(H128="Premium",I128*'Costos y metas'!$E$27,IF(H128="Pack 2 Estándar",I128*2*'Costos y metas'!$E$26,IF(H128="Pack mixto",I128*('Costos y metas'!$E$26+'Costos y metas'!$E$27),""))))</f>
        <v/>
      </c>
      <c r="M128" s="5" t="str">
        <f t="shared" si="7"/>
        <v/>
      </c>
      <c r="N128" s="1"/>
      <c r="O128" s="11"/>
      <c r="P128" s="56"/>
    </row>
    <row r="129" spans="1:16">
      <c r="A129" s="55"/>
      <c r="B129" s="1"/>
      <c r="C129" s="1"/>
      <c r="D129" s="1"/>
      <c r="E129" s="1"/>
      <c r="F129" s="1"/>
      <c r="G129" s="1"/>
      <c r="H129" s="1"/>
      <c r="I129" s="7"/>
      <c r="J129" s="5" t="str">
        <f>IF(H129="Estándar",'Costos y metas'!$B$14,IF(H129="Premium",'Costos y metas'!$B$15,IF(H129="Pack 2 Estándar",'Costos y metas'!$G$42,IF(H129="Pack mixto",'Costos y metas'!$G$43,""))))</f>
        <v/>
      </c>
      <c r="K129" s="5" t="str">
        <f t="shared" si="6"/>
        <v/>
      </c>
      <c r="L129" s="5" t="str">
        <f>IF(H129="Estándar",I129*'Costos y metas'!$E$26,IF(H129="Premium",I129*'Costos y metas'!$E$27,IF(H129="Pack 2 Estándar",I129*2*'Costos y metas'!$E$26,IF(H129="Pack mixto",I129*('Costos y metas'!$E$26+'Costos y metas'!$E$27),""))))</f>
        <v/>
      </c>
      <c r="M129" s="5" t="str">
        <f t="shared" si="7"/>
        <v/>
      </c>
      <c r="N129" s="1"/>
      <c r="O129" s="11"/>
      <c r="P129" s="56"/>
    </row>
    <row r="130" spans="1:16">
      <c r="A130" s="55"/>
      <c r="B130" s="1"/>
      <c r="C130" s="1"/>
      <c r="D130" s="1"/>
      <c r="E130" s="1"/>
      <c r="F130" s="1"/>
      <c r="G130" s="1"/>
      <c r="H130" s="1"/>
      <c r="I130" s="7"/>
      <c r="J130" s="5" t="str">
        <f>IF(H130="Estándar",'Costos y metas'!$B$14,IF(H130="Premium",'Costos y metas'!$B$15,IF(H130="Pack 2 Estándar",'Costos y metas'!$G$42,IF(H130="Pack mixto",'Costos y metas'!$G$43,""))))</f>
        <v/>
      </c>
      <c r="K130" s="5" t="str">
        <f t="shared" si="6"/>
        <v/>
      </c>
      <c r="L130" s="5" t="str">
        <f>IF(H130="Estándar",I130*'Costos y metas'!$E$26,IF(H130="Premium",I130*'Costos y metas'!$E$27,IF(H130="Pack 2 Estándar",I130*2*'Costos y metas'!$E$26,IF(H130="Pack mixto",I130*('Costos y metas'!$E$26+'Costos y metas'!$E$27),""))))</f>
        <v/>
      </c>
      <c r="M130" s="5" t="str">
        <f t="shared" si="7"/>
        <v/>
      </c>
      <c r="N130" s="1"/>
      <c r="O130" s="11"/>
      <c r="P130" s="56"/>
    </row>
    <row r="131" spans="1:16">
      <c r="A131" s="55"/>
      <c r="B131" s="1"/>
      <c r="C131" s="1"/>
      <c r="D131" s="1"/>
      <c r="E131" s="1"/>
      <c r="F131" s="1"/>
      <c r="G131" s="1"/>
      <c r="H131" s="1"/>
      <c r="I131" s="7"/>
      <c r="J131" s="5" t="str">
        <f>IF(H131="Estándar",'Costos y metas'!$B$14,IF(H131="Premium",'Costos y metas'!$B$15,IF(H131="Pack 2 Estándar",'Costos y metas'!$G$42,IF(H131="Pack mixto",'Costos y metas'!$G$43,""))))</f>
        <v/>
      </c>
      <c r="K131" s="5" t="str">
        <f t="shared" si="6"/>
        <v/>
      </c>
      <c r="L131" s="5" t="str">
        <f>IF(H131="Estándar",I131*'Costos y metas'!$E$26,IF(H131="Premium",I131*'Costos y metas'!$E$27,IF(H131="Pack 2 Estándar",I131*2*'Costos y metas'!$E$26,IF(H131="Pack mixto",I131*('Costos y metas'!$E$26+'Costos y metas'!$E$27),""))))</f>
        <v/>
      </c>
      <c r="M131" s="5" t="str">
        <f t="shared" si="7"/>
        <v/>
      </c>
      <c r="N131" s="1"/>
      <c r="O131" s="11"/>
      <c r="P131" s="56"/>
    </row>
    <row r="132" spans="1:16">
      <c r="A132" s="55"/>
      <c r="B132" s="1"/>
      <c r="C132" s="1"/>
      <c r="D132" s="1"/>
      <c r="E132" s="1"/>
      <c r="F132" s="1"/>
      <c r="G132" s="1"/>
      <c r="H132" s="1"/>
      <c r="I132" s="7"/>
      <c r="J132" s="5" t="str">
        <f>IF(H132="Estándar",'Costos y metas'!$B$14,IF(H132="Premium",'Costos y metas'!$B$15,IF(H132="Pack 2 Estándar",'Costos y metas'!$G$42,IF(H132="Pack mixto",'Costos y metas'!$G$43,""))))</f>
        <v/>
      </c>
      <c r="K132" s="5" t="str">
        <f t="shared" si="6"/>
        <v/>
      </c>
      <c r="L132" s="5" t="str">
        <f>IF(H132="Estándar",I132*'Costos y metas'!$E$26,IF(H132="Premium",I132*'Costos y metas'!$E$27,IF(H132="Pack 2 Estándar",I132*2*'Costos y metas'!$E$26,IF(H132="Pack mixto",I132*('Costos y metas'!$E$26+'Costos y metas'!$E$27),""))))</f>
        <v/>
      </c>
      <c r="M132" s="5" t="str">
        <f t="shared" si="7"/>
        <v/>
      </c>
      <c r="N132" s="1"/>
      <c r="O132" s="11"/>
      <c r="P132" s="56"/>
    </row>
    <row r="133" spans="1:16">
      <c r="A133" s="55"/>
      <c r="B133" s="1"/>
      <c r="C133" s="1"/>
      <c r="D133" s="1"/>
      <c r="E133" s="1"/>
      <c r="F133" s="1"/>
      <c r="G133" s="1"/>
      <c r="H133" s="1"/>
      <c r="I133" s="7"/>
      <c r="J133" s="5" t="str">
        <f>IF(H133="Estándar",'Costos y metas'!$B$14,IF(H133="Premium",'Costos y metas'!$B$15,IF(H133="Pack 2 Estándar",'Costos y metas'!$G$42,IF(H133="Pack mixto",'Costos y metas'!$G$43,""))))</f>
        <v/>
      </c>
      <c r="K133" s="5" t="str">
        <f t="shared" si="6"/>
        <v/>
      </c>
      <c r="L133" s="5" t="str">
        <f>IF(H133="Estándar",I133*'Costos y metas'!$E$26,IF(H133="Premium",I133*'Costos y metas'!$E$27,IF(H133="Pack 2 Estándar",I133*2*'Costos y metas'!$E$26,IF(H133="Pack mixto",I133*('Costos y metas'!$E$26+'Costos y metas'!$E$27),""))))</f>
        <v/>
      </c>
      <c r="M133" s="5" t="str">
        <f t="shared" si="7"/>
        <v/>
      </c>
      <c r="N133" s="1"/>
      <c r="O133" s="11"/>
      <c r="P133" s="56"/>
    </row>
    <row r="134" spans="1:16">
      <c r="A134" s="55"/>
      <c r="B134" s="1"/>
      <c r="C134" s="1"/>
      <c r="D134" s="1"/>
      <c r="E134" s="1"/>
      <c r="F134" s="1"/>
      <c r="G134" s="1"/>
      <c r="H134" s="1"/>
      <c r="I134" s="7"/>
      <c r="J134" s="5" t="str">
        <f>IF(H134="Estándar",'Costos y metas'!$B$14,IF(H134="Premium",'Costos y metas'!$B$15,IF(H134="Pack 2 Estándar",'Costos y metas'!$G$42,IF(H134="Pack mixto",'Costos y metas'!$G$43,""))))</f>
        <v/>
      </c>
      <c r="K134" s="5" t="str">
        <f t="shared" ref="K134:K165" si="8">IF(OR(I134="",J134=""),"",I134*J134)</f>
        <v/>
      </c>
      <c r="L134" s="5" t="str">
        <f>IF(H134="Estándar",I134*'Costos y metas'!$E$26,IF(H134="Premium",I134*'Costos y metas'!$E$27,IF(H134="Pack 2 Estándar",I134*2*'Costos y metas'!$E$26,IF(H134="Pack mixto",I134*('Costos y metas'!$E$26+'Costos y metas'!$E$27),""))))</f>
        <v/>
      </c>
      <c r="M134" s="5" t="str">
        <f t="shared" ref="M134:M165" si="9">IF(OR(K134="",L134=""),"",K134-L134)</f>
        <v/>
      </c>
      <c r="N134" s="1"/>
      <c r="O134" s="11"/>
      <c r="P134" s="56"/>
    </row>
    <row r="135" spans="1:16">
      <c r="A135" s="55"/>
      <c r="B135" s="1"/>
      <c r="C135" s="1"/>
      <c r="D135" s="1"/>
      <c r="E135" s="1"/>
      <c r="F135" s="1"/>
      <c r="G135" s="1"/>
      <c r="H135" s="1"/>
      <c r="I135" s="7"/>
      <c r="J135" s="5" t="str">
        <f>IF(H135="Estándar",'Costos y metas'!$B$14,IF(H135="Premium",'Costos y metas'!$B$15,IF(H135="Pack 2 Estándar",'Costos y metas'!$G$42,IF(H135="Pack mixto",'Costos y metas'!$G$43,""))))</f>
        <v/>
      </c>
      <c r="K135" s="5" t="str">
        <f t="shared" si="8"/>
        <v/>
      </c>
      <c r="L135" s="5" t="str">
        <f>IF(H135="Estándar",I135*'Costos y metas'!$E$26,IF(H135="Premium",I135*'Costos y metas'!$E$27,IF(H135="Pack 2 Estándar",I135*2*'Costos y metas'!$E$26,IF(H135="Pack mixto",I135*('Costos y metas'!$E$26+'Costos y metas'!$E$27),""))))</f>
        <v/>
      </c>
      <c r="M135" s="5" t="str">
        <f t="shared" si="9"/>
        <v/>
      </c>
      <c r="N135" s="1"/>
      <c r="O135" s="11"/>
      <c r="P135" s="56"/>
    </row>
    <row r="136" spans="1:16">
      <c r="A136" s="55"/>
      <c r="B136" s="1"/>
      <c r="C136" s="1"/>
      <c r="D136" s="1"/>
      <c r="E136" s="1"/>
      <c r="F136" s="1"/>
      <c r="G136" s="1"/>
      <c r="H136" s="1"/>
      <c r="I136" s="7"/>
      <c r="J136" s="5" t="str">
        <f>IF(H136="Estándar",'Costos y metas'!$B$14,IF(H136="Premium",'Costos y metas'!$B$15,IF(H136="Pack 2 Estándar",'Costos y metas'!$G$42,IF(H136="Pack mixto",'Costos y metas'!$G$43,""))))</f>
        <v/>
      </c>
      <c r="K136" s="5" t="str">
        <f t="shared" si="8"/>
        <v/>
      </c>
      <c r="L136" s="5" t="str">
        <f>IF(H136="Estándar",I136*'Costos y metas'!$E$26,IF(H136="Premium",I136*'Costos y metas'!$E$27,IF(H136="Pack 2 Estándar",I136*2*'Costos y metas'!$E$26,IF(H136="Pack mixto",I136*('Costos y metas'!$E$26+'Costos y metas'!$E$27),""))))</f>
        <v/>
      </c>
      <c r="M136" s="5" t="str">
        <f t="shared" si="9"/>
        <v/>
      </c>
      <c r="N136" s="1"/>
      <c r="O136" s="11"/>
      <c r="P136" s="56"/>
    </row>
    <row r="137" spans="1:16">
      <c r="A137" s="55"/>
      <c r="B137" s="1"/>
      <c r="C137" s="1"/>
      <c r="D137" s="1"/>
      <c r="E137" s="1"/>
      <c r="F137" s="1"/>
      <c r="G137" s="1"/>
      <c r="H137" s="1"/>
      <c r="I137" s="7"/>
      <c r="J137" s="5" t="str">
        <f>IF(H137="Estándar",'Costos y metas'!$B$14,IF(H137="Premium",'Costos y metas'!$B$15,IF(H137="Pack 2 Estándar",'Costos y metas'!$G$42,IF(H137="Pack mixto",'Costos y metas'!$G$43,""))))</f>
        <v/>
      </c>
      <c r="K137" s="5" t="str">
        <f t="shared" si="8"/>
        <v/>
      </c>
      <c r="L137" s="5" t="str">
        <f>IF(H137="Estándar",I137*'Costos y metas'!$E$26,IF(H137="Premium",I137*'Costos y metas'!$E$27,IF(H137="Pack 2 Estándar",I137*2*'Costos y metas'!$E$26,IF(H137="Pack mixto",I137*('Costos y metas'!$E$26+'Costos y metas'!$E$27),""))))</f>
        <v/>
      </c>
      <c r="M137" s="5" t="str">
        <f t="shared" si="9"/>
        <v/>
      </c>
      <c r="N137" s="1"/>
      <c r="O137" s="11"/>
      <c r="P137" s="56"/>
    </row>
    <row r="138" spans="1:16">
      <c r="A138" s="55"/>
      <c r="B138" s="1"/>
      <c r="C138" s="1"/>
      <c r="D138" s="1"/>
      <c r="E138" s="1"/>
      <c r="F138" s="1"/>
      <c r="G138" s="1"/>
      <c r="H138" s="1"/>
      <c r="I138" s="7"/>
      <c r="J138" s="5" t="str">
        <f>IF(H138="Estándar",'Costos y metas'!$B$14,IF(H138="Premium",'Costos y metas'!$B$15,IF(H138="Pack 2 Estándar",'Costos y metas'!$G$42,IF(H138="Pack mixto",'Costos y metas'!$G$43,""))))</f>
        <v/>
      </c>
      <c r="K138" s="5" t="str">
        <f t="shared" si="8"/>
        <v/>
      </c>
      <c r="L138" s="5" t="str">
        <f>IF(H138="Estándar",I138*'Costos y metas'!$E$26,IF(H138="Premium",I138*'Costos y metas'!$E$27,IF(H138="Pack 2 Estándar",I138*2*'Costos y metas'!$E$26,IF(H138="Pack mixto",I138*('Costos y metas'!$E$26+'Costos y metas'!$E$27),""))))</f>
        <v/>
      </c>
      <c r="M138" s="5" t="str">
        <f t="shared" si="9"/>
        <v/>
      </c>
      <c r="N138" s="1"/>
      <c r="O138" s="11"/>
      <c r="P138" s="56"/>
    </row>
    <row r="139" spans="1:16">
      <c r="A139" s="55"/>
      <c r="B139" s="1"/>
      <c r="C139" s="1"/>
      <c r="D139" s="1"/>
      <c r="E139" s="1"/>
      <c r="F139" s="1"/>
      <c r="G139" s="1"/>
      <c r="H139" s="1"/>
      <c r="I139" s="7"/>
      <c r="J139" s="5" t="str">
        <f>IF(H139="Estándar",'Costos y metas'!$B$14,IF(H139="Premium",'Costos y metas'!$B$15,IF(H139="Pack 2 Estándar",'Costos y metas'!$G$42,IF(H139="Pack mixto",'Costos y metas'!$G$43,""))))</f>
        <v/>
      </c>
      <c r="K139" s="5" t="str">
        <f t="shared" si="8"/>
        <v/>
      </c>
      <c r="L139" s="5" t="str">
        <f>IF(H139="Estándar",I139*'Costos y metas'!$E$26,IF(H139="Premium",I139*'Costos y metas'!$E$27,IF(H139="Pack 2 Estándar",I139*2*'Costos y metas'!$E$26,IF(H139="Pack mixto",I139*('Costos y metas'!$E$26+'Costos y metas'!$E$27),""))))</f>
        <v/>
      </c>
      <c r="M139" s="5" t="str">
        <f t="shared" si="9"/>
        <v/>
      </c>
      <c r="N139" s="1"/>
      <c r="O139" s="11"/>
      <c r="P139" s="56"/>
    </row>
    <row r="140" spans="1:16">
      <c r="A140" s="55"/>
      <c r="B140" s="1"/>
      <c r="C140" s="1"/>
      <c r="D140" s="1"/>
      <c r="E140" s="1"/>
      <c r="F140" s="1"/>
      <c r="G140" s="1"/>
      <c r="H140" s="1"/>
      <c r="I140" s="7"/>
      <c r="J140" s="5" t="str">
        <f>IF(H140="Estándar",'Costos y metas'!$B$14,IF(H140="Premium",'Costos y metas'!$B$15,IF(H140="Pack 2 Estándar",'Costos y metas'!$G$42,IF(H140="Pack mixto",'Costos y metas'!$G$43,""))))</f>
        <v/>
      </c>
      <c r="K140" s="5" t="str">
        <f t="shared" si="8"/>
        <v/>
      </c>
      <c r="L140" s="5" t="str">
        <f>IF(H140="Estándar",I140*'Costos y metas'!$E$26,IF(H140="Premium",I140*'Costos y metas'!$E$27,IF(H140="Pack 2 Estándar",I140*2*'Costos y metas'!$E$26,IF(H140="Pack mixto",I140*('Costos y metas'!$E$26+'Costos y metas'!$E$27),""))))</f>
        <v/>
      </c>
      <c r="M140" s="5" t="str">
        <f t="shared" si="9"/>
        <v/>
      </c>
      <c r="N140" s="1"/>
      <c r="O140" s="11"/>
      <c r="P140" s="56"/>
    </row>
    <row r="141" spans="1:16">
      <c r="A141" s="55"/>
      <c r="B141" s="1"/>
      <c r="C141" s="1"/>
      <c r="D141" s="1"/>
      <c r="E141" s="1"/>
      <c r="F141" s="1"/>
      <c r="G141" s="1"/>
      <c r="H141" s="1"/>
      <c r="I141" s="7"/>
      <c r="J141" s="5" t="str">
        <f>IF(H141="Estándar",'Costos y metas'!$B$14,IF(H141="Premium",'Costos y metas'!$B$15,IF(H141="Pack 2 Estándar",'Costos y metas'!$G$42,IF(H141="Pack mixto",'Costos y metas'!$G$43,""))))</f>
        <v/>
      </c>
      <c r="K141" s="5" t="str">
        <f t="shared" si="8"/>
        <v/>
      </c>
      <c r="L141" s="5" t="str">
        <f>IF(H141="Estándar",I141*'Costos y metas'!$E$26,IF(H141="Premium",I141*'Costos y metas'!$E$27,IF(H141="Pack 2 Estándar",I141*2*'Costos y metas'!$E$26,IF(H141="Pack mixto",I141*('Costos y metas'!$E$26+'Costos y metas'!$E$27),""))))</f>
        <v/>
      </c>
      <c r="M141" s="5" t="str">
        <f t="shared" si="9"/>
        <v/>
      </c>
      <c r="N141" s="1"/>
      <c r="O141" s="11"/>
      <c r="P141" s="56"/>
    </row>
    <row r="142" spans="1:16">
      <c r="A142" s="55"/>
      <c r="B142" s="1"/>
      <c r="C142" s="1"/>
      <c r="D142" s="1"/>
      <c r="E142" s="1"/>
      <c r="F142" s="1"/>
      <c r="G142" s="1"/>
      <c r="H142" s="1"/>
      <c r="I142" s="7"/>
      <c r="J142" s="5" t="str">
        <f>IF(H142="Estándar",'Costos y metas'!$B$14,IF(H142="Premium",'Costos y metas'!$B$15,IF(H142="Pack 2 Estándar",'Costos y metas'!$G$42,IF(H142="Pack mixto",'Costos y metas'!$G$43,""))))</f>
        <v/>
      </c>
      <c r="K142" s="5" t="str">
        <f t="shared" si="8"/>
        <v/>
      </c>
      <c r="L142" s="5" t="str">
        <f>IF(H142="Estándar",I142*'Costos y metas'!$E$26,IF(H142="Premium",I142*'Costos y metas'!$E$27,IF(H142="Pack 2 Estándar",I142*2*'Costos y metas'!$E$26,IF(H142="Pack mixto",I142*('Costos y metas'!$E$26+'Costos y metas'!$E$27),""))))</f>
        <v/>
      </c>
      <c r="M142" s="5" t="str">
        <f t="shared" si="9"/>
        <v/>
      </c>
      <c r="N142" s="1"/>
      <c r="O142" s="11"/>
      <c r="P142" s="56"/>
    </row>
    <row r="143" spans="1:16">
      <c r="A143" s="55"/>
      <c r="B143" s="1"/>
      <c r="C143" s="1"/>
      <c r="D143" s="1"/>
      <c r="E143" s="1"/>
      <c r="F143" s="1"/>
      <c r="G143" s="1"/>
      <c r="H143" s="1"/>
      <c r="I143" s="7"/>
      <c r="J143" s="5" t="str">
        <f>IF(H143="Estándar",'Costos y metas'!$B$14,IF(H143="Premium",'Costos y metas'!$B$15,IF(H143="Pack 2 Estándar",'Costos y metas'!$G$42,IF(H143="Pack mixto",'Costos y metas'!$G$43,""))))</f>
        <v/>
      </c>
      <c r="K143" s="5" t="str">
        <f t="shared" si="8"/>
        <v/>
      </c>
      <c r="L143" s="5" t="str">
        <f>IF(H143="Estándar",I143*'Costos y metas'!$E$26,IF(H143="Premium",I143*'Costos y metas'!$E$27,IF(H143="Pack 2 Estándar",I143*2*'Costos y metas'!$E$26,IF(H143="Pack mixto",I143*('Costos y metas'!$E$26+'Costos y metas'!$E$27),""))))</f>
        <v/>
      </c>
      <c r="M143" s="5" t="str">
        <f t="shared" si="9"/>
        <v/>
      </c>
      <c r="N143" s="1"/>
      <c r="O143" s="11"/>
      <c r="P143" s="56"/>
    </row>
    <row r="144" spans="1:16">
      <c r="A144" s="55"/>
      <c r="B144" s="1"/>
      <c r="C144" s="1"/>
      <c r="D144" s="1"/>
      <c r="E144" s="1"/>
      <c r="F144" s="1"/>
      <c r="G144" s="1"/>
      <c r="H144" s="1"/>
      <c r="I144" s="7"/>
      <c r="J144" s="5" t="str">
        <f>IF(H144="Estándar",'Costos y metas'!$B$14,IF(H144="Premium",'Costos y metas'!$B$15,IF(H144="Pack 2 Estándar",'Costos y metas'!$G$42,IF(H144="Pack mixto",'Costos y metas'!$G$43,""))))</f>
        <v/>
      </c>
      <c r="K144" s="5" t="str">
        <f t="shared" si="8"/>
        <v/>
      </c>
      <c r="L144" s="5" t="str">
        <f>IF(H144="Estándar",I144*'Costos y metas'!$E$26,IF(H144="Premium",I144*'Costos y metas'!$E$27,IF(H144="Pack 2 Estándar",I144*2*'Costos y metas'!$E$26,IF(H144="Pack mixto",I144*('Costos y metas'!$E$26+'Costos y metas'!$E$27),""))))</f>
        <v/>
      </c>
      <c r="M144" s="5" t="str">
        <f t="shared" si="9"/>
        <v/>
      </c>
      <c r="N144" s="1"/>
      <c r="O144" s="11"/>
      <c r="P144" s="56"/>
    </row>
    <row r="145" spans="1:16">
      <c r="A145" s="55"/>
      <c r="B145" s="1"/>
      <c r="C145" s="1"/>
      <c r="D145" s="1"/>
      <c r="E145" s="1"/>
      <c r="F145" s="1"/>
      <c r="G145" s="1"/>
      <c r="H145" s="1"/>
      <c r="I145" s="7"/>
      <c r="J145" s="5" t="str">
        <f>IF(H145="Estándar",'Costos y metas'!$B$14,IF(H145="Premium",'Costos y metas'!$B$15,IF(H145="Pack 2 Estándar",'Costos y metas'!$G$42,IF(H145="Pack mixto",'Costos y metas'!$G$43,""))))</f>
        <v/>
      </c>
      <c r="K145" s="5" t="str">
        <f t="shared" si="8"/>
        <v/>
      </c>
      <c r="L145" s="5" t="str">
        <f>IF(H145="Estándar",I145*'Costos y metas'!$E$26,IF(H145="Premium",I145*'Costos y metas'!$E$27,IF(H145="Pack 2 Estándar",I145*2*'Costos y metas'!$E$26,IF(H145="Pack mixto",I145*('Costos y metas'!$E$26+'Costos y metas'!$E$27),""))))</f>
        <v/>
      </c>
      <c r="M145" s="5" t="str">
        <f t="shared" si="9"/>
        <v/>
      </c>
      <c r="N145" s="1"/>
      <c r="O145" s="11"/>
      <c r="P145" s="56"/>
    </row>
    <row r="146" spans="1:16">
      <c r="A146" s="55"/>
      <c r="B146" s="1"/>
      <c r="C146" s="1"/>
      <c r="D146" s="1"/>
      <c r="E146" s="1"/>
      <c r="F146" s="1"/>
      <c r="G146" s="1"/>
      <c r="H146" s="1"/>
      <c r="I146" s="7"/>
      <c r="J146" s="5" t="str">
        <f>IF(H146="Estándar",'Costos y metas'!$B$14,IF(H146="Premium",'Costos y metas'!$B$15,IF(H146="Pack 2 Estándar",'Costos y metas'!$G$42,IF(H146="Pack mixto",'Costos y metas'!$G$43,""))))</f>
        <v/>
      </c>
      <c r="K146" s="5" t="str">
        <f t="shared" si="8"/>
        <v/>
      </c>
      <c r="L146" s="5" t="str">
        <f>IF(H146="Estándar",I146*'Costos y metas'!$E$26,IF(H146="Premium",I146*'Costos y metas'!$E$27,IF(H146="Pack 2 Estándar",I146*2*'Costos y metas'!$E$26,IF(H146="Pack mixto",I146*('Costos y metas'!$E$26+'Costos y metas'!$E$27),""))))</f>
        <v/>
      </c>
      <c r="M146" s="5" t="str">
        <f t="shared" si="9"/>
        <v/>
      </c>
      <c r="N146" s="1"/>
      <c r="O146" s="11"/>
      <c r="P146" s="56"/>
    </row>
    <row r="147" spans="1:16">
      <c r="A147" s="55"/>
      <c r="B147" s="1"/>
      <c r="C147" s="1"/>
      <c r="D147" s="1"/>
      <c r="E147" s="1"/>
      <c r="F147" s="1"/>
      <c r="G147" s="1"/>
      <c r="H147" s="1"/>
      <c r="I147" s="7"/>
      <c r="J147" s="5" t="str">
        <f>IF(H147="Estándar",'Costos y metas'!$B$14,IF(H147="Premium",'Costos y metas'!$B$15,IF(H147="Pack 2 Estándar",'Costos y metas'!$G$42,IF(H147="Pack mixto",'Costos y metas'!$G$43,""))))</f>
        <v/>
      </c>
      <c r="K147" s="5" t="str">
        <f t="shared" si="8"/>
        <v/>
      </c>
      <c r="L147" s="5" t="str">
        <f>IF(H147="Estándar",I147*'Costos y metas'!$E$26,IF(H147="Premium",I147*'Costos y metas'!$E$27,IF(H147="Pack 2 Estándar",I147*2*'Costos y metas'!$E$26,IF(H147="Pack mixto",I147*('Costos y metas'!$E$26+'Costos y metas'!$E$27),""))))</f>
        <v/>
      </c>
      <c r="M147" s="5" t="str">
        <f t="shared" si="9"/>
        <v/>
      </c>
      <c r="N147" s="1"/>
      <c r="O147" s="11"/>
      <c r="P147" s="56"/>
    </row>
    <row r="148" spans="1:16">
      <c r="A148" s="55"/>
      <c r="B148" s="1"/>
      <c r="C148" s="1"/>
      <c r="D148" s="1"/>
      <c r="E148" s="1"/>
      <c r="F148" s="1"/>
      <c r="G148" s="1"/>
      <c r="H148" s="1"/>
      <c r="I148" s="7"/>
      <c r="J148" s="5" t="str">
        <f>IF(H148="Estándar",'Costos y metas'!$B$14,IF(H148="Premium",'Costos y metas'!$B$15,IF(H148="Pack 2 Estándar",'Costos y metas'!$G$42,IF(H148="Pack mixto",'Costos y metas'!$G$43,""))))</f>
        <v/>
      </c>
      <c r="K148" s="5" t="str">
        <f t="shared" si="8"/>
        <v/>
      </c>
      <c r="L148" s="5" t="str">
        <f>IF(H148="Estándar",I148*'Costos y metas'!$E$26,IF(H148="Premium",I148*'Costos y metas'!$E$27,IF(H148="Pack 2 Estándar",I148*2*'Costos y metas'!$E$26,IF(H148="Pack mixto",I148*('Costos y metas'!$E$26+'Costos y metas'!$E$27),""))))</f>
        <v/>
      </c>
      <c r="M148" s="5" t="str">
        <f t="shared" si="9"/>
        <v/>
      </c>
      <c r="N148" s="1"/>
      <c r="O148" s="11"/>
      <c r="P148" s="56"/>
    </row>
    <row r="149" spans="1:16">
      <c r="A149" s="55"/>
      <c r="B149" s="1"/>
      <c r="C149" s="1"/>
      <c r="D149" s="1"/>
      <c r="E149" s="1"/>
      <c r="F149" s="1"/>
      <c r="G149" s="1"/>
      <c r="H149" s="1"/>
      <c r="I149" s="7"/>
      <c r="J149" s="5" t="str">
        <f>IF(H149="Estándar",'Costos y metas'!$B$14,IF(H149="Premium",'Costos y metas'!$B$15,IF(H149="Pack 2 Estándar",'Costos y metas'!$G$42,IF(H149="Pack mixto",'Costos y metas'!$G$43,""))))</f>
        <v/>
      </c>
      <c r="K149" s="5" t="str">
        <f t="shared" si="8"/>
        <v/>
      </c>
      <c r="L149" s="5" t="str">
        <f>IF(H149="Estándar",I149*'Costos y metas'!$E$26,IF(H149="Premium",I149*'Costos y metas'!$E$27,IF(H149="Pack 2 Estándar",I149*2*'Costos y metas'!$E$26,IF(H149="Pack mixto",I149*('Costos y metas'!$E$26+'Costos y metas'!$E$27),""))))</f>
        <v/>
      </c>
      <c r="M149" s="5" t="str">
        <f t="shared" si="9"/>
        <v/>
      </c>
      <c r="N149" s="1"/>
      <c r="O149" s="11"/>
      <c r="P149" s="56"/>
    </row>
    <row r="150" spans="1:16">
      <c r="A150" s="55"/>
      <c r="B150" s="1"/>
      <c r="C150" s="1"/>
      <c r="D150" s="1"/>
      <c r="E150" s="1"/>
      <c r="F150" s="1"/>
      <c r="G150" s="1"/>
      <c r="H150" s="1"/>
      <c r="I150" s="7"/>
      <c r="J150" s="5" t="str">
        <f>IF(H150="Estándar",'Costos y metas'!$B$14,IF(H150="Premium",'Costos y metas'!$B$15,IF(H150="Pack 2 Estándar",'Costos y metas'!$G$42,IF(H150="Pack mixto",'Costos y metas'!$G$43,""))))</f>
        <v/>
      </c>
      <c r="K150" s="5" t="str">
        <f t="shared" si="8"/>
        <v/>
      </c>
      <c r="L150" s="5" t="str">
        <f>IF(H150="Estándar",I150*'Costos y metas'!$E$26,IF(H150="Premium",I150*'Costos y metas'!$E$27,IF(H150="Pack 2 Estándar",I150*2*'Costos y metas'!$E$26,IF(H150="Pack mixto",I150*('Costos y metas'!$E$26+'Costos y metas'!$E$27),""))))</f>
        <v/>
      </c>
      <c r="M150" s="5" t="str">
        <f t="shared" si="9"/>
        <v/>
      </c>
      <c r="N150" s="1"/>
      <c r="O150" s="11"/>
      <c r="P150" s="56"/>
    </row>
    <row r="151" spans="1:16">
      <c r="A151" s="55"/>
      <c r="B151" s="1"/>
      <c r="C151" s="1"/>
      <c r="D151" s="1"/>
      <c r="E151" s="1"/>
      <c r="F151" s="1"/>
      <c r="G151" s="1"/>
      <c r="H151" s="1"/>
      <c r="I151" s="7"/>
      <c r="J151" s="5" t="str">
        <f>IF(H151="Estándar",'Costos y metas'!$B$14,IF(H151="Premium",'Costos y metas'!$B$15,IF(H151="Pack 2 Estándar",'Costos y metas'!$G$42,IF(H151="Pack mixto",'Costos y metas'!$G$43,""))))</f>
        <v/>
      </c>
      <c r="K151" s="5" t="str">
        <f t="shared" si="8"/>
        <v/>
      </c>
      <c r="L151" s="5" t="str">
        <f>IF(H151="Estándar",I151*'Costos y metas'!$E$26,IF(H151="Premium",I151*'Costos y metas'!$E$27,IF(H151="Pack 2 Estándar",I151*2*'Costos y metas'!$E$26,IF(H151="Pack mixto",I151*('Costos y metas'!$E$26+'Costos y metas'!$E$27),""))))</f>
        <v/>
      </c>
      <c r="M151" s="5" t="str">
        <f t="shared" si="9"/>
        <v/>
      </c>
      <c r="N151" s="1"/>
      <c r="O151" s="11"/>
      <c r="P151" s="56"/>
    </row>
    <row r="152" spans="1:16">
      <c r="A152" s="55"/>
      <c r="B152" s="1"/>
      <c r="C152" s="1"/>
      <c r="D152" s="1"/>
      <c r="E152" s="1"/>
      <c r="F152" s="1"/>
      <c r="G152" s="1"/>
      <c r="H152" s="1"/>
      <c r="I152" s="7"/>
      <c r="J152" s="5" t="str">
        <f>IF(H152="Estándar",'Costos y metas'!$B$14,IF(H152="Premium",'Costos y metas'!$B$15,IF(H152="Pack 2 Estándar",'Costos y metas'!$G$42,IF(H152="Pack mixto",'Costos y metas'!$G$43,""))))</f>
        <v/>
      </c>
      <c r="K152" s="5" t="str">
        <f t="shared" si="8"/>
        <v/>
      </c>
      <c r="L152" s="5" t="str">
        <f>IF(H152="Estándar",I152*'Costos y metas'!$E$26,IF(H152="Premium",I152*'Costos y metas'!$E$27,IF(H152="Pack 2 Estándar",I152*2*'Costos y metas'!$E$26,IF(H152="Pack mixto",I152*('Costos y metas'!$E$26+'Costos y metas'!$E$27),""))))</f>
        <v/>
      </c>
      <c r="M152" s="5" t="str">
        <f t="shared" si="9"/>
        <v/>
      </c>
      <c r="N152" s="1"/>
      <c r="O152" s="11"/>
      <c r="P152" s="56"/>
    </row>
    <row r="153" spans="1:16">
      <c r="A153" s="55"/>
      <c r="B153" s="1"/>
      <c r="C153" s="1"/>
      <c r="D153" s="1"/>
      <c r="E153" s="1"/>
      <c r="F153" s="1"/>
      <c r="G153" s="1"/>
      <c r="H153" s="1"/>
      <c r="I153" s="7"/>
      <c r="J153" s="5" t="str">
        <f>IF(H153="Estándar",'Costos y metas'!$B$14,IF(H153="Premium",'Costos y metas'!$B$15,IF(H153="Pack 2 Estándar",'Costos y metas'!$G$42,IF(H153="Pack mixto",'Costos y metas'!$G$43,""))))</f>
        <v/>
      </c>
      <c r="K153" s="5" t="str">
        <f t="shared" si="8"/>
        <v/>
      </c>
      <c r="L153" s="5" t="str">
        <f>IF(H153="Estándar",I153*'Costos y metas'!$E$26,IF(H153="Premium",I153*'Costos y metas'!$E$27,IF(H153="Pack 2 Estándar",I153*2*'Costos y metas'!$E$26,IF(H153="Pack mixto",I153*('Costos y metas'!$E$26+'Costos y metas'!$E$27),""))))</f>
        <v/>
      </c>
      <c r="M153" s="5" t="str">
        <f t="shared" si="9"/>
        <v/>
      </c>
      <c r="N153" s="1"/>
      <c r="O153" s="11"/>
      <c r="P153" s="56"/>
    </row>
    <row r="154" spans="1:16">
      <c r="A154" s="55"/>
      <c r="B154" s="1"/>
      <c r="C154" s="1"/>
      <c r="D154" s="1"/>
      <c r="E154" s="1"/>
      <c r="F154" s="1"/>
      <c r="G154" s="1"/>
      <c r="H154" s="1"/>
      <c r="I154" s="7"/>
      <c r="J154" s="5" t="str">
        <f>IF(H154="Estándar",'Costos y metas'!$B$14,IF(H154="Premium",'Costos y metas'!$B$15,IF(H154="Pack 2 Estándar",'Costos y metas'!$G$42,IF(H154="Pack mixto",'Costos y metas'!$G$43,""))))</f>
        <v/>
      </c>
      <c r="K154" s="5" t="str">
        <f t="shared" si="8"/>
        <v/>
      </c>
      <c r="L154" s="5" t="str">
        <f>IF(H154="Estándar",I154*'Costos y metas'!$E$26,IF(H154="Premium",I154*'Costos y metas'!$E$27,IF(H154="Pack 2 Estándar",I154*2*'Costos y metas'!$E$26,IF(H154="Pack mixto",I154*('Costos y metas'!$E$26+'Costos y metas'!$E$27),""))))</f>
        <v/>
      </c>
      <c r="M154" s="5" t="str">
        <f t="shared" si="9"/>
        <v/>
      </c>
      <c r="N154" s="1"/>
      <c r="O154" s="11"/>
      <c r="P154" s="56"/>
    </row>
    <row r="155" spans="1:16">
      <c r="A155" s="55"/>
      <c r="B155" s="1"/>
      <c r="C155" s="1"/>
      <c r="D155" s="1"/>
      <c r="E155" s="1"/>
      <c r="F155" s="1"/>
      <c r="G155" s="1"/>
      <c r="H155" s="1"/>
      <c r="I155" s="7"/>
      <c r="J155" s="5" t="str">
        <f>IF(H155="Estándar",'Costos y metas'!$B$14,IF(H155="Premium",'Costos y metas'!$B$15,IF(H155="Pack 2 Estándar",'Costos y metas'!$G$42,IF(H155="Pack mixto",'Costos y metas'!$G$43,""))))</f>
        <v/>
      </c>
      <c r="K155" s="5" t="str">
        <f t="shared" si="8"/>
        <v/>
      </c>
      <c r="L155" s="5" t="str">
        <f>IF(H155="Estándar",I155*'Costos y metas'!$E$26,IF(H155="Premium",I155*'Costos y metas'!$E$27,IF(H155="Pack 2 Estándar",I155*2*'Costos y metas'!$E$26,IF(H155="Pack mixto",I155*('Costos y metas'!$E$26+'Costos y metas'!$E$27),""))))</f>
        <v/>
      </c>
      <c r="M155" s="5" t="str">
        <f t="shared" si="9"/>
        <v/>
      </c>
      <c r="N155" s="1"/>
      <c r="O155" s="11"/>
      <c r="P155" s="56"/>
    </row>
    <row r="156" spans="1:16">
      <c r="A156" s="55"/>
      <c r="B156" s="1"/>
      <c r="C156" s="1"/>
      <c r="D156" s="1"/>
      <c r="E156" s="1"/>
      <c r="F156" s="1"/>
      <c r="G156" s="1"/>
      <c r="H156" s="1"/>
      <c r="I156" s="7"/>
      <c r="J156" s="5" t="str">
        <f>IF(H156="Estándar",'Costos y metas'!$B$14,IF(H156="Premium",'Costos y metas'!$B$15,IF(H156="Pack 2 Estándar",'Costos y metas'!$G$42,IF(H156="Pack mixto",'Costos y metas'!$G$43,""))))</f>
        <v/>
      </c>
      <c r="K156" s="5" t="str">
        <f t="shared" si="8"/>
        <v/>
      </c>
      <c r="L156" s="5" t="str">
        <f>IF(H156="Estándar",I156*'Costos y metas'!$E$26,IF(H156="Premium",I156*'Costos y metas'!$E$27,IF(H156="Pack 2 Estándar",I156*2*'Costos y metas'!$E$26,IF(H156="Pack mixto",I156*('Costos y metas'!$E$26+'Costos y metas'!$E$27),""))))</f>
        <v/>
      </c>
      <c r="M156" s="5" t="str">
        <f t="shared" si="9"/>
        <v/>
      </c>
      <c r="N156" s="1"/>
      <c r="O156" s="11"/>
      <c r="P156" s="56"/>
    </row>
    <row r="157" spans="1:16">
      <c r="A157" s="55"/>
      <c r="B157" s="1"/>
      <c r="C157" s="1"/>
      <c r="D157" s="1"/>
      <c r="E157" s="1"/>
      <c r="F157" s="1"/>
      <c r="G157" s="1"/>
      <c r="H157" s="1"/>
      <c r="I157" s="7"/>
      <c r="J157" s="5" t="str">
        <f>IF(H157="Estándar",'Costos y metas'!$B$14,IF(H157="Premium",'Costos y metas'!$B$15,IF(H157="Pack 2 Estándar",'Costos y metas'!$G$42,IF(H157="Pack mixto",'Costos y metas'!$G$43,""))))</f>
        <v/>
      </c>
      <c r="K157" s="5" t="str">
        <f t="shared" si="8"/>
        <v/>
      </c>
      <c r="L157" s="5" t="str">
        <f>IF(H157="Estándar",I157*'Costos y metas'!$E$26,IF(H157="Premium",I157*'Costos y metas'!$E$27,IF(H157="Pack 2 Estándar",I157*2*'Costos y metas'!$E$26,IF(H157="Pack mixto",I157*('Costos y metas'!$E$26+'Costos y metas'!$E$27),""))))</f>
        <v/>
      </c>
      <c r="M157" s="5" t="str">
        <f t="shared" si="9"/>
        <v/>
      </c>
      <c r="N157" s="1"/>
      <c r="O157" s="11"/>
      <c r="P157" s="56"/>
    </row>
    <row r="158" spans="1:16">
      <c r="A158" s="55"/>
      <c r="B158" s="1"/>
      <c r="C158" s="1"/>
      <c r="D158" s="1"/>
      <c r="E158" s="1"/>
      <c r="F158" s="1"/>
      <c r="G158" s="1"/>
      <c r="H158" s="1"/>
      <c r="I158" s="7"/>
      <c r="J158" s="5" t="str">
        <f>IF(H158="Estándar",'Costos y metas'!$B$14,IF(H158="Premium",'Costos y metas'!$B$15,IF(H158="Pack 2 Estándar",'Costos y metas'!$G$42,IF(H158="Pack mixto",'Costos y metas'!$G$43,""))))</f>
        <v/>
      </c>
      <c r="K158" s="5" t="str">
        <f t="shared" si="8"/>
        <v/>
      </c>
      <c r="L158" s="5" t="str">
        <f>IF(H158="Estándar",I158*'Costos y metas'!$E$26,IF(H158="Premium",I158*'Costos y metas'!$E$27,IF(H158="Pack 2 Estándar",I158*2*'Costos y metas'!$E$26,IF(H158="Pack mixto",I158*('Costos y metas'!$E$26+'Costos y metas'!$E$27),""))))</f>
        <v/>
      </c>
      <c r="M158" s="5" t="str">
        <f t="shared" si="9"/>
        <v/>
      </c>
      <c r="N158" s="1"/>
      <c r="O158" s="11"/>
      <c r="P158" s="56"/>
    </row>
    <row r="159" spans="1:16">
      <c r="A159" s="55"/>
      <c r="B159" s="1"/>
      <c r="C159" s="1"/>
      <c r="D159" s="1"/>
      <c r="E159" s="1"/>
      <c r="F159" s="1"/>
      <c r="G159" s="1"/>
      <c r="H159" s="1"/>
      <c r="I159" s="7"/>
      <c r="J159" s="5" t="str">
        <f>IF(H159="Estándar",'Costos y metas'!$B$14,IF(H159="Premium",'Costos y metas'!$B$15,IF(H159="Pack 2 Estándar",'Costos y metas'!$G$42,IF(H159="Pack mixto",'Costos y metas'!$G$43,""))))</f>
        <v/>
      </c>
      <c r="K159" s="5" t="str">
        <f t="shared" si="8"/>
        <v/>
      </c>
      <c r="L159" s="5" t="str">
        <f>IF(H159="Estándar",I159*'Costos y metas'!$E$26,IF(H159="Premium",I159*'Costos y metas'!$E$27,IF(H159="Pack 2 Estándar",I159*2*'Costos y metas'!$E$26,IF(H159="Pack mixto",I159*('Costos y metas'!$E$26+'Costos y metas'!$E$27),""))))</f>
        <v/>
      </c>
      <c r="M159" s="5" t="str">
        <f t="shared" si="9"/>
        <v/>
      </c>
      <c r="N159" s="1"/>
      <c r="O159" s="11"/>
      <c r="P159" s="56"/>
    </row>
    <row r="160" spans="1:16">
      <c r="A160" s="55"/>
      <c r="B160" s="1"/>
      <c r="C160" s="1"/>
      <c r="D160" s="1"/>
      <c r="E160" s="1"/>
      <c r="F160" s="1"/>
      <c r="G160" s="1"/>
      <c r="H160" s="1"/>
      <c r="I160" s="7"/>
      <c r="J160" s="5" t="str">
        <f>IF(H160="Estándar",'Costos y metas'!$B$14,IF(H160="Premium",'Costos y metas'!$B$15,IF(H160="Pack 2 Estándar",'Costos y metas'!$G$42,IF(H160="Pack mixto",'Costos y metas'!$G$43,""))))</f>
        <v/>
      </c>
      <c r="K160" s="5" t="str">
        <f t="shared" si="8"/>
        <v/>
      </c>
      <c r="L160" s="5" t="str">
        <f>IF(H160="Estándar",I160*'Costos y metas'!$E$26,IF(H160="Premium",I160*'Costos y metas'!$E$27,IF(H160="Pack 2 Estándar",I160*2*'Costos y metas'!$E$26,IF(H160="Pack mixto",I160*('Costos y metas'!$E$26+'Costos y metas'!$E$27),""))))</f>
        <v/>
      </c>
      <c r="M160" s="5" t="str">
        <f t="shared" si="9"/>
        <v/>
      </c>
      <c r="N160" s="1"/>
      <c r="O160" s="11"/>
      <c r="P160" s="56"/>
    </row>
    <row r="161" spans="1:16">
      <c r="A161" s="55"/>
      <c r="B161" s="1"/>
      <c r="C161" s="1"/>
      <c r="D161" s="1"/>
      <c r="E161" s="1"/>
      <c r="F161" s="1"/>
      <c r="G161" s="1"/>
      <c r="H161" s="1"/>
      <c r="I161" s="7"/>
      <c r="J161" s="5" t="str">
        <f>IF(H161="Estándar",'Costos y metas'!$B$14,IF(H161="Premium",'Costos y metas'!$B$15,IF(H161="Pack 2 Estándar",'Costos y metas'!$G$42,IF(H161="Pack mixto",'Costos y metas'!$G$43,""))))</f>
        <v/>
      </c>
      <c r="K161" s="5" t="str">
        <f t="shared" si="8"/>
        <v/>
      </c>
      <c r="L161" s="5" t="str">
        <f>IF(H161="Estándar",I161*'Costos y metas'!$E$26,IF(H161="Premium",I161*'Costos y metas'!$E$27,IF(H161="Pack 2 Estándar",I161*2*'Costos y metas'!$E$26,IF(H161="Pack mixto",I161*('Costos y metas'!$E$26+'Costos y metas'!$E$27),""))))</f>
        <v/>
      </c>
      <c r="M161" s="5" t="str">
        <f t="shared" si="9"/>
        <v/>
      </c>
      <c r="N161" s="1"/>
      <c r="O161" s="11"/>
      <c r="P161" s="56"/>
    </row>
    <row r="162" spans="1:16">
      <c r="A162" s="55"/>
      <c r="B162" s="1"/>
      <c r="C162" s="1"/>
      <c r="D162" s="1"/>
      <c r="E162" s="1"/>
      <c r="F162" s="1"/>
      <c r="G162" s="1"/>
      <c r="H162" s="1"/>
      <c r="I162" s="7"/>
      <c r="J162" s="5" t="str">
        <f>IF(H162="Estándar",'Costos y metas'!$B$14,IF(H162="Premium",'Costos y metas'!$B$15,IF(H162="Pack 2 Estándar",'Costos y metas'!$G$42,IF(H162="Pack mixto",'Costos y metas'!$G$43,""))))</f>
        <v/>
      </c>
      <c r="K162" s="5" t="str">
        <f t="shared" si="8"/>
        <v/>
      </c>
      <c r="L162" s="5" t="str">
        <f>IF(H162="Estándar",I162*'Costos y metas'!$E$26,IF(H162="Premium",I162*'Costos y metas'!$E$27,IF(H162="Pack 2 Estándar",I162*2*'Costos y metas'!$E$26,IF(H162="Pack mixto",I162*('Costos y metas'!$E$26+'Costos y metas'!$E$27),""))))</f>
        <v/>
      </c>
      <c r="M162" s="5" t="str">
        <f t="shared" si="9"/>
        <v/>
      </c>
      <c r="N162" s="1"/>
      <c r="O162" s="11"/>
      <c r="P162" s="56"/>
    </row>
    <row r="163" spans="1:16">
      <c r="A163" s="55"/>
      <c r="B163" s="1"/>
      <c r="C163" s="1"/>
      <c r="D163" s="1"/>
      <c r="E163" s="1"/>
      <c r="F163" s="1"/>
      <c r="G163" s="1"/>
      <c r="H163" s="1"/>
      <c r="I163" s="7"/>
      <c r="J163" s="5" t="str">
        <f>IF(H163="Estándar",'Costos y metas'!$B$14,IF(H163="Premium",'Costos y metas'!$B$15,IF(H163="Pack 2 Estándar",'Costos y metas'!$G$42,IF(H163="Pack mixto",'Costos y metas'!$G$43,""))))</f>
        <v/>
      </c>
      <c r="K163" s="5" t="str">
        <f t="shared" si="8"/>
        <v/>
      </c>
      <c r="L163" s="5" t="str">
        <f>IF(H163="Estándar",I163*'Costos y metas'!$E$26,IF(H163="Premium",I163*'Costos y metas'!$E$27,IF(H163="Pack 2 Estándar",I163*2*'Costos y metas'!$E$26,IF(H163="Pack mixto",I163*('Costos y metas'!$E$26+'Costos y metas'!$E$27),""))))</f>
        <v/>
      </c>
      <c r="M163" s="5" t="str">
        <f t="shared" si="9"/>
        <v/>
      </c>
      <c r="N163" s="1"/>
      <c r="O163" s="11"/>
      <c r="P163" s="56"/>
    </row>
    <row r="164" spans="1:16">
      <c r="A164" s="55"/>
      <c r="B164" s="1"/>
      <c r="C164" s="1"/>
      <c r="D164" s="1"/>
      <c r="E164" s="1"/>
      <c r="F164" s="1"/>
      <c r="G164" s="1"/>
      <c r="H164" s="1"/>
      <c r="I164" s="7"/>
      <c r="J164" s="5" t="str">
        <f>IF(H164="Estándar",'Costos y metas'!$B$14,IF(H164="Premium",'Costos y metas'!$B$15,IF(H164="Pack 2 Estándar",'Costos y metas'!$G$42,IF(H164="Pack mixto",'Costos y metas'!$G$43,""))))</f>
        <v/>
      </c>
      <c r="K164" s="5" t="str">
        <f t="shared" si="8"/>
        <v/>
      </c>
      <c r="L164" s="5" t="str">
        <f>IF(H164="Estándar",I164*'Costos y metas'!$E$26,IF(H164="Premium",I164*'Costos y metas'!$E$27,IF(H164="Pack 2 Estándar",I164*2*'Costos y metas'!$E$26,IF(H164="Pack mixto",I164*('Costos y metas'!$E$26+'Costos y metas'!$E$27),""))))</f>
        <v/>
      </c>
      <c r="M164" s="5" t="str">
        <f t="shared" si="9"/>
        <v/>
      </c>
      <c r="N164" s="1"/>
      <c r="O164" s="11"/>
      <c r="P164" s="56"/>
    </row>
    <row r="165" spans="1:16">
      <c r="A165" s="55"/>
      <c r="B165" s="1"/>
      <c r="C165" s="1"/>
      <c r="D165" s="1"/>
      <c r="E165" s="1"/>
      <c r="F165" s="1"/>
      <c r="G165" s="1"/>
      <c r="H165" s="1"/>
      <c r="I165" s="7"/>
      <c r="J165" s="5" t="str">
        <f>IF(H165="Estándar",'Costos y metas'!$B$14,IF(H165="Premium",'Costos y metas'!$B$15,IF(H165="Pack 2 Estándar",'Costos y metas'!$G$42,IF(H165="Pack mixto",'Costos y metas'!$G$43,""))))</f>
        <v/>
      </c>
      <c r="K165" s="5" t="str">
        <f t="shared" si="8"/>
        <v/>
      </c>
      <c r="L165" s="5" t="str">
        <f>IF(H165="Estándar",I165*'Costos y metas'!$E$26,IF(H165="Premium",I165*'Costos y metas'!$E$27,IF(H165="Pack 2 Estándar",I165*2*'Costos y metas'!$E$26,IF(H165="Pack mixto",I165*('Costos y metas'!$E$26+'Costos y metas'!$E$27),""))))</f>
        <v/>
      </c>
      <c r="M165" s="5" t="str">
        <f t="shared" si="9"/>
        <v/>
      </c>
      <c r="N165" s="1"/>
      <c r="O165" s="11"/>
      <c r="P165" s="56"/>
    </row>
    <row r="166" spans="1:16">
      <c r="A166" s="55"/>
      <c r="B166" s="1"/>
      <c r="C166" s="1"/>
      <c r="D166" s="1"/>
      <c r="E166" s="1"/>
      <c r="F166" s="1"/>
      <c r="G166" s="1"/>
      <c r="H166" s="1"/>
      <c r="I166" s="7"/>
      <c r="J166" s="5" t="str">
        <f>IF(H166="Estándar",'Costos y metas'!$B$14,IF(H166="Premium",'Costos y metas'!$B$15,IF(H166="Pack 2 Estándar",'Costos y metas'!$G$42,IF(H166="Pack mixto",'Costos y metas'!$G$43,""))))</f>
        <v/>
      </c>
      <c r="K166" s="5" t="str">
        <f t="shared" ref="K166:K197" si="10">IF(OR(I166="",J166=""),"",I166*J166)</f>
        <v/>
      </c>
      <c r="L166" s="5" t="str">
        <f>IF(H166="Estándar",I166*'Costos y metas'!$E$26,IF(H166="Premium",I166*'Costos y metas'!$E$27,IF(H166="Pack 2 Estándar",I166*2*'Costos y metas'!$E$26,IF(H166="Pack mixto",I166*('Costos y metas'!$E$26+'Costos y metas'!$E$27),""))))</f>
        <v/>
      </c>
      <c r="M166" s="5" t="str">
        <f t="shared" ref="M166:M197" si="11">IF(OR(K166="",L166=""),"",K166-L166)</f>
        <v/>
      </c>
      <c r="N166" s="1"/>
      <c r="O166" s="11"/>
      <c r="P166" s="56"/>
    </row>
    <row r="167" spans="1:16">
      <c r="A167" s="55"/>
      <c r="B167" s="1"/>
      <c r="C167" s="1"/>
      <c r="D167" s="1"/>
      <c r="E167" s="1"/>
      <c r="F167" s="1"/>
      <c r="G167" s="1"/>
      <c r="H167" s="1"/>
      <c r="I167" s="7"/>
      <c r="J167" s="5" t="str">
        <f>IF(H167="Estándar",'Costos y metas'!$B$14,IF(H167="Premium",'Costos y metas'!$B$15,IF(H167="Pack 2 Estándar",'Costos y metas'!$G$42,IF(H167="Pack mixto",'Costos y metas'!$G$43,""))))</f>
        <v/>
      </c>
      <c r="K167" s="5" t="str">
        <f t="shared" si="10"/>
        <v/>
      </c>
      <c r="L167" s="5" t="str">
        <f>IF(H167="Estándar",I167*'Costos y metas'!$E$26,IF(H167="Premium",I167*'Costos y metas'!$E$27,IF(H167="Pack 2 Estándar",I167*2*'Costos y metas'!$E$26,IF(H167="Pack mixto",I167*('Costos y metas'!$E$26+'Costos y metas'!$E$27),""))))</f>
        <v/>
      </c>
      <c r="M167" s="5" t="str">
        <f t="shared" si="11"/>
        <v/>
      </c>
      <c r="N167" s="1"/>
      <c r="O167" s="11"/>
      <c r="P167" s="56"/>
    </row>
    <row r="168" spans="1:16">
      <c r="A168" s="55"/>
      <c r="B168" s="1"/>
      <c r="C168" s="1"/>
      <c r="D168" s="1"/>
      <c r="E168" s="1"/>
      <c r="F168" s="1"/>
      <c r="G168" s="1"/>
      <c r="H168" s="1"/>
      <c r="I168" s="7"/>
      <c r="J168" s="5" t="str">
        <f>IF(H168="Estándar",'Costos y metas'!$B$14,IF(H168="Premium",'Costos y metas'!$B$15,IF(H168="Pack 2 Estándar",'Costos y metas'!$G$42,IF(H168="Pack mixto",'Costos y metas'!$G$43,""))))</f>
        <v/>
      </c>
      <c r="K168" s="5" t="str">
        <f t="shared" si="10"/>
        <v/>
      </c>
      <c r="L168" s="5" t="str">
        <f>IF(H168="Estándar",I168*'Costos y metas'!$E$26,IF(H168="Premium",I168*'Costos y metas'!$E$27,IF(H168="Pack 2 Estándar",I168*2*'Costos y metas'!$E$26,IF(H168="Pack mixto",I168*('Costos y metas'!$E$26+'Costos y metas'!$E$27),""))))</f>
        <v/>
      </c>
      <c r="M168" s="5" t="str">
        <f t="shared" si="11"/>
        <v/>
      </c>
      <c r="N168" s="1"/>
      <c r="O168" s="11"/>
      <c r="P168" s="56"/>
    </row>
    <row r="169" spans="1:16">
      <c r="A169" s="55"/>
      <c r="B169" s="1"/>
      <c r="C169" s="1"/>
      <c r="D169" s="1"/>
      <c r="E169" s="1"/>
      <c r="F169" s="1"/>
      <c r="G169" s="1"/>
      <c r="H169" s="1"/>
      <c r="I169" s="7"/>
      <c r="J169" s="5" t="str">
        <f>IF(H169="Estándar",'Costos y metas'!$B$14,IF(H169="Premium",'Costos y metas'!$B$15,IF(H169="Pack 2 Estándar",'Costos y metas'!$G$42,IF(H169="Pack mixto",'Costos y metas'!$G$43,""))))</f>
        <v/>
      </c>
      <c r="K169" s="5" t="str">
        <f t="shared" si="10"/>
        <v/>
      </c>
      <c r="L169" s="5" t="str">
        <f>IF(H169="Estándar",I169*'Costos y metas'!$E$26,IF(H169="Premium",I169*'Costos y metas'!$E$27,IF(H169="Pack 2 Estándar",I169*2*'Costos y metas'!$E$26,IF(H169="Pack mixto",I169*('Costos y metas'!$E$26+'Costos y metas'!$E$27),""))))</f>
        <v/>
      </c>
      <c r="M169" s="5" t="str">
        <f t="shared" si="11"/>
        <v/>
      </c>
      <c r="N169" s="1"/>
      <c r="O169" s="11"/>
      <c r="P169" s="56"/>
    </row>
    <row r="170" spans="1:16">
      <c r="A170" s="55"/>
      <c r="B170" s="1"/>
      <c r="C170" s="1"/>
      <c r="D170" s="1"/>
      <c r="E170" s="1"/>
      <c r="F170" s="1"/>
      <c r="G170" s="1"/>
      <c r="H170" s="1"/>
      <c r="I170" s="7"/>
      <c r="J170" s="5" t="str">
        <f>IF(H170="Estándar",'Costos y metas'!$B$14,IF(H170="Premium",'Costos y metas'!$B$15,IF(H170="Pack 2 Estándar",'Costos y metas'!$G$42,IF(H170="Pack mixto",'Costos y metas'!$G$43,""))))</f>
        <v/>
      </c>
      <c r="K170" s="5" t="str">
        <f t="shared" si="10"/>
        <v/>
      </c>
      <c r="L170" s="5" t="str">
        <f>IF(H170="Estándar",I170*'Costos y metas'!$E$26,IF(H170="Premium",I170*'Costos y metas'!$E$27,IF(H170="Pack 2 Estándar",I170*2*'Costos y metas'!$E$26,IF(H170="Pack mixto",I170*('Costos y metas'!$E$26+'Costos y metas'!$E$27),""))))</f>
        <v/>
      </c>
      <c r="M170" s="5" t="str">
        <f t="shared" si="11"/>
        <v/>
      </c>
      <c r="N170" s="1"/>
      <c r="O170" s="11"/>
      <c r="P170" s="56"/>
    </row>
    <row r="171" spans="1:16">
      <c r="A171" s="55"/>
      <c r="B171" s="1"/>
      <c r="C171" s="1"/>
      <c r="D171" s="1"/>
      <c r="E171" s="1"/>
      <c r="F171" s="1"/>
      <c r="G171" s="1"/>
      <c r="H171" s="1"/>
      <c r="I171" s="7"/>
      <c r="J171" s="5" t="str">
        <f>IF(H171="Estándar",'Costos y metas'!$B$14,IF(H171="Premium",'Costos y metas'!$B$15,IF(H171="Pack 2 Estándar",'Costos y metas'!$G$42,IF(H171="Pack mixto",'Costos y metas'!$G$43,""))))</f>
        <v/>
      </c>
      <c r="K171" s="5" t="str">
        <f t="shared" si="10"/>
        <v/>
      </c>
      <c r="L171" s="5" t="str">
        <f>IF(H171="Estándar",I171*'Costos y metas'!$E$26,IF(H171="Premium",I171*'Costos y metas'!$E$27,IF(H171="Pack 2 Estándar",I171*2*'Costos y metas'!$E$26,IF(H171="Pack mixto",I171*('Costos y metas'!$E$26+'Costos y metas'!$E$27),""))))</f>
        <v/>
      </c>
      <c r="M171" s="5" t="str">
        <f t="shared" si="11"/>
        <v/>
      </c>
      <c r="N171" s="1"/>
      <c r="O171" s="11"/>
      <c r="P171" s="56"/>
    </row>
    <row r="172" spans="1:16">
      <c r="A172" s="55"/>
      <c r="B172" s="1"/>
      <c r="C172" s="1"/>
      <c r="D172" s="1"/>
      <c r="E172" s="1"/>
      <c r="F172" s="1"/>
      <c r="G172" s="1"/>
      <c r="H172" s="1"/>
      <c r="I172" s="7"/>
      <c r="J172" s="5" t="str">
        <f>IF(H172="Estándar",'Costos y metas'!$B$14,IF(H172="Premium",'Costos y metas'!$B$15,IF(H172="Pack 2 Estándar",'Costos y metas'!$G$42,IF(H172="Pack mixto",'Costos y metas'!$G$43,""))))</f>
        <v/>
      </c>
      <c r="K172" s="5" t="str">
        <f t="shared" si="10"/>
        <v/>
      </c>
      <c r="L172" s="5" t="str">
        <f>IF(H172="Estándar",I172*'Costos y metas'!$E$26,IF(H172="Premium",I172*'Costos y metas'!$E$27,IF(H172="Pack 2 Estándar",I172*2*'Costos y metas'!$E$26,IF(H172="Pack mixto",I172*('Costos y metas'!$E$26+'Costos y metas'!$E$27),""))))</f>
        <v/>
      </c>
      <c r="M172" s="5" t="str">
        <f t="shared" si="11"/>
        <v/>
      </c>
      <c r="N172" s="1"/>
      <c r="O172" s="11"/>
      <c r="P172" s="56"/>
    </row>
    <row r="173" spans="1:16">
      <c r="A173" s="55"/>
      <c r="B173" s="1"/>
      <c r="C173" s="1"/>
      <c r="D173" s="1"/>
      <c r="E173" s="1"/>
      <c r="F173" s="1"/>
      <c r="G173" s="1"/>
      <c r="H173" s="1"/>
      <c r="I173" s="7"/>
      <c r="J173" s="5" t="str">
        <f>IF(H173="Estándar",'Costos y metas'!$B$14,IF(H173="Premium",'Costos y metas'!$B$15,IF(H173="Pack 2 Estándar",'Costos y metas'!$G$42,IF(H173="Pack mixto",'Costos y metas'!$G$43,""))))</f>
        <v/>
      </c>
      <c r="K173" s="5" t="str">
        <f t="shared" si="10"/>
        <v/>
      </c>
      <c r="L173" s="5" t="str">
        <f>IF(H173="Estándar",I173*'Costos y metas'!$E$26,IF(H173="Premium",I173*'Costos y metas'!$E$27,IF(H173="Pack 2 Estándar",I173*2*'Costos y metas'!$E$26,IF(H173="Pack mixto",I173*('Costos y metas'!$E$26+'Costos y metas'!$E$27),""))))</f>
        <v/>
      </c>
      <c r="M173" s="5" t="str">
        <f t="shared" si="11"/>
        <v/>
      </c>
      <c r="N173" s="1"/>
      <c r="O173" s="11"/>
      <c r="P173" s="56"/>
    </row>
    <row r="174" spans="1:16">
      <c r="A174" s="55"/>
      <c r="B174" s="1"/>
      <c r="C174" s="1"/>
      <c r="D174" s="1"/>
      <c r="E174" s="1"/>
      <c r="F174" s="1"/>
      <c r="G174" s="1"/>
      <c r="H174" s="1"/>
      <c r="I174" s="7"/>
      <c r="J174" s="5" t="str">
        <f>IF(H174="Estándar",'Costos y metas'!$B$14,IF(H174="Premium",'Costos y metas'!$B$15,IF(H174="Pack 2 Estándar",'Costos y metas'!$G$42,IF(H174="Pack mixto",'Costos y metas'!$G$43,""))))</f>
        <v/>
      </c>
      <c r="K174" s="5" t="str">
        <f t="shared" si="10"/>
        <v/>
      </c>
      <c r="L174" s="5" t="str">
        <f>IF(H174="Estándar",I174*'Costos y metas'!$E$26,IF(H174="Premium",I174*'Costos y metas'!$E$27,IF(H174="Pack 2 Estándar",I174*2*'Costos y metas'!$E$26,IF(H174="Pack mixto",I174*('Costos y metas'!$E$26+'Costos y metas'!$E$27),""))))</f>
        <v/>
      </c>
      <c r="M174" s="5" t="str">
        <f t="shared" si="11"/>
        <v/>
      </c>
      <c r="N174" s="1"/>
      <c r="O174" s="11"/>
      <c r="P174" s="56"/>
    </row>
    <row r="175" spans="1:16">
      <c r="A175" s="55"/>
      <c r="B175" s="1"/>
      <c r="C175" s="1"/>
      <c r="D175" s="1"/>
      <c r="E175" s="1"/>
      <c r="F175" s="1"/>
      <c r="G175" s="1"/>
      <c r="H175" s="1"/>
      <c r="I175" s="7"/>
      <c r="J175" s="5" t="str">
        <f>IF(H175="Estándar",'Costos y metas'!$B$14,IF(H175="Premium",'Costos y metas'!$B$15,IF(H175="Pack 2 Estándar",'Costos y metas'!$G$42,IF(H175="Pack mixto",'Costos y metas'!$G$43,""))))</f>
        <v/>
      </c>
      <c r="K175" s="5" t="str">
        <f t="shared" si="10"/>
        <v/>
      </c>
      <c r="L175" s="5" t="str">
        <f>IF(H175="Estándar",I175*'Costos y metas'!$E$26,IF(H175="Premium",I175*'Costos y metas'!$E$27,IF(H175="Pack 2 Estándar",I175*2*'Costos y metas'!$E$26,IF(H175="Pack mixto",I175*('Costos y metas'!$E$26+'Costos y metas'!$E$27),""))))</f>
        <v/>
      </c>
      <c r="M175" s="5" t="str">
        <f t="shared" si="11"/>
        <v/>
      </c>
      <c r="N175" s="1"/>
      <c r="O175" s="11"/>
      <c r="P175" s="56"/>
    </row>
    <row r="176" spans="1:16">
      <c r="A176" s="55"/>
      <c r="B176" s="1"/>
      <c r="C176" s="1"/>
      <c r="D176" s="1"/>
      <c r="E176" s="1"/>
      <c r="F176" s="1"/>
      <c r="G176" s="1"/>
      <c r="H176" s="1"/>
      <c r="I176" s="7"/>
      <c r="J176" s="5" t="str">
        <f>IF(H176="Estándar",'Costos y metas'!$B$14,IF(H176="Premium",'Costos y metas'!$B$15,IF(H176="Pack 2 Estándar",'Costos y metas'!$G$42,IF(H176="Pack mixto",'Costos y metas'!$G$43,""))))</f>
        <v/>
      </c>
      <c r="K176" s="5" t="str">
        <f t="shared" si="10"/>
        <v/>
      </c>
      <c r="L176" s="5" t="str">
        <f>IF(H176="Estándar",I176*'Costos y metas'!$E$26,IF(H176="Premium",I176*'Costos y metas'!$E$27,IF(H176="Pack 2 Estándar",I176*2*'Costos y metas'!$E$26,IF(H176="Pack mixto",I176*('Costos y metas'!$E$26+'Costos y metas'!$E$27),""))))</f>
        <v/>
      </c>
      <c r="M176" s="5" t="str">
        <f t="shared" si="11"/>
        <v/>
      </c>
      <c r="N176" s="1"/>
      <c r="O176" s="11"/>
      <c r="P176" s="56"/>
    </row>
    <row r="177" spans="1:16">
      <c r="A177" s="55"/>
      <c r="B177" s="1"/>
      <c r="C177" s="1"/>
      <c r="D177" s="1"/>
      <c r="E177" s="1"/>
      <c r="F177" s="1"/>
      <c r="G177" s="1"/>
      <c r="H177" s="1"/>
      <c r="I177" s="7"/>
      <c r="J177" s="5" t="str">
        <f>IF(H177="Estándar",'Costos y metas'!$B$14,IF(H177="Premium",'Costos y metas'!$B$15,IF(H177="Pack 2 Estándar",'Costos y metas'!$G$42,IF(H177="Pack mixto",'Costos y metas'!$G$43,""))))</f>
        <v/>
      </c>
      <c r="K177" s="5" t="str">
        <f t="shared" si="10"/>
        <v/>
      </c>
      <c r="L177" s="5" t="str">
        <f>IF(H177="Estándar",I177*'Costos y metas'!$E$26,IF(H177="Premium",I177*'Costos y metas'!$E$27,IF(H177="Pack 2 Estándar",I177*2*'Costos y metas'!$E$26,IF(H177="Pack mixto",I177*('Costos y metas'!$E$26+'Costos y metas'!$E$27),""))))</f>
        <v/>
      </c>
      <c r="M177" s="5" t="str">
        <f t="shared" si="11"/>
        <v/>
      </c>
      <c r="N177" s="1"/>
      <c r="O177" s="11"/>
      <c r="P177" s="56"/>
    </row>
    <row r="178" spans="1:16">
      <c r="A178" s="55"/>
      <c r="B178" s="1"/>
      <c r="C178" s="1"/>
      <c r="D178" s="1"/>
      <c r="E178" s="1"/>
      <c r="F178" s="1"/>
      <c r="G178" s="1"/>
      <c r="H178" s="1"/>
      <c r="I178" s="7"/>
      <c r="J178" s="5" t="str">
        <f>IF(H178="Estándar",'Costos y metas'!$B$14,IF(H178="Premium",'Costos y metas'!$B$15,IF(H178="Pack 2 Estándar",'Costos y metas'!$G$42,IF(H178="Pack mixto",'Costos y metas'!$G$43,""))))</f>
        <v/>
      </c>
      <c r="K178" s="5" t="str">
        <f t="shared" si="10"/>
        <v/>
      </c>
      <c r="L178" s="5" t="str">
        <f>IF(H178="Estándar",I178*'Costos y metas'!$E$26,IF(H178="Premium",I178*'Costos y metas'!$E$27,IF(H178="Pack 2 Estándar",I178*2*'Costos y metas'!$E$26,IF(H178="Pack mixto",I178*('Costos y metas'!$E$26+'Costos y metas'!$E$27),""))))</f>
        <v/>
      </c>
      <c r="M178" s="5" t="str">
        <f t="shared" si="11"/>
        <v/>
      </c>
      <c r="N178" s="1"/>
      <c r="O178" s="11"/>
      <c r="P178" s="56"/>
    </row>
    <row r="179" spans="1:16">
      <c r="A179" s="55"/>
      <c r="B179" s="1"/>
      <c r="C179" s="1"/>
      <c r="D179" s="1"/>
      <c r="E179" s="1"/>
      <c r="F179" s="1"/>
      <c r="G179" s="1"/>
      <c r="H179" s="1"/>
      <c r="I179" s="7"/>
      <c r="J179" s="5" t="str">
        <f>IF(H179="Estándar",'Costos y metas'!$B$14,IF(H179="Premium",'Costos y metas'!$B$15,IF(H179="Pack 2 Estándar",'Costos y metas'!$G$42,IF(H179="Pack mixto",'Costos y metas'!$G$43,""))))</f>
        <v/>
      </c>
      <c r="K179" s="5" t="str">
        <f t="shared" si="10"/>
        <v/>
      </c>
      <c r="L179" s="5" t="str">
        <f>IF(H179="Estándar",I179*'Costos y metas'!$E$26,IF(H179="Premium",I179*'Costos y metas'!$E$27,IF(H179="Pack 2 Estándar",I179*2*'Costos y metas'!$E$26,IF(H179="Pack mixto",I179*('Costos y metas'!$E$26+'Costos y metas'!$E$27),""))))</f>
        <v/>
      </c>
      <c r="M179" s="5" t="str">
        <f t="shared" si="11"/>
        <v/>
      </c>
      <c r="N179" s="1"/>
      <c r="O179" s="11"/>
      <c r="P179" s="56"/>
    </row>
    <row r="180" spans="1:16">
      <c r="A180" s="55"/>
      <c r="B180" s="1"/>
      <c r="C180" s="1"/>
      <c r="D180" s="1"/>
      <c r="E180" s="1"/>
      <c r="F180" s="1"/>
      <c r="G180" s="1"/>
      <c r="H180" s="1"/>
      <c r="I180" s="7"/>
      <c r="J180" s="5" t="str">
        <f>IF(H180="Estándar",'Costos y metas'!$B$14,IF(H180="Premium",'Costos y metas'!$B$15,IF(H180="Pack 2 Estándar",'Costos y metas'!$G$42,IF(H180="Pack mixto",'Costos y metas'!$G$43,""))))</f>
        <v/>
      </c>
      <c r="K180" s="5" t="str">
        <f t="shared" si="10"/>
        <v/>
      </c>
      <c r="L180" s="5" t="str">
        <f>IF(H180="Estándar",I180*'Costos y metas'!$E$26,IF(H180="Premium",I180*'Costos y metas'!$E$27,IF(H180="Pack 2 Estándar",I180*2*'Costos y metas'!$E$26,IF(H180="Pack mixto",I180*('Costos y metas'!$E$26+'Costos y metas'!$E$27),""))))</f>
        <v/>
      </c>
      <c r="M180" s="5" t="str">
        <f t="shared" si="11"/>
        <v/>
      </c>
      <c r="N180" s="1"/>
      <c r="O180" s="11"/>
      <c r="P180" s="56"/>
    </row>
    <row r="181" spans="1:16">
      <c r="A181" s="55"/>
      <c r="B181" s="1"/>
      <c r="C181" s="1"/>
      <c r="D181" s="1"/>
      <c r="E181" s="1"/>
      <c r="F181" s="1"/>
      <c r="G181" s="1"/>
      <c r="H181" s="1"/>
      <c r="I181" s="7"/>
      <c r="J181" s="5" t="str">
        <f>IF(H181="Estándar",'Costos y metas'!$B$14,IF(H181="Premium",'Costos y metas'!$B$15,IF(H181="Pack 2 Estándar",'Costos y metas'!$G$42,IF(H181="Pack mixto",'Costos y metas'!$G$43,""))))</f>
        <v/>
      </c>
      <c r="K181" s="5" t="str">
        <f t="shared" si="10"/>
        <v/>
      </c>
      <c r="L181" s="5" t="str">
        <f>IF(H181="Estándar",I181*'Costos y metas'!$E$26,IF(H181="Premium",I181*'Costos y metas'!$E$27,IF(H181="Pack 2 Estándar",I181*2*'Costos y metas'!$E$26,IF(H181="Pack mixto",I181*('Costos y metas'!$E$26+'Costos y metas'!$E$27),""))))</f>
        <v/>
      </c>
      <c r="M181" s="5" t="str">
        <f t="shared" si="11"/>
        <v/>
      </c>
      <c r="N181" s="1"/>
      <c r="O181" s="11"/>
      <c r="P181" s="56"/>
    </row>
    <row r="182" spans="1:16">
      <c r="A182" s="55"/>
      <c r="B182" s="1"/>
      <c r="C182" s="1"/>
      <c r="D182" s="1"/>
      <c r="E182" s="1"/>
      <c r="F182" s="1"/>
      <c r="G182" s="1"/>
      <c r="H182" s="1"/>
      <c r="I182" s="7"/>
      <c r="J182" s="5" t="str">
        <f>IF(H182="Estándar",'Costos y metas'!$B$14,IF(H182="Premium",'Costos y metas'!$B$15,IF(H182="Pack 2 Estándar",'Costos y metas'!$G$42,IF(H182="Pack mixto",'Costos y metas'!$G$43,""))))</f>
        <v/>
      </c>
      <c r="K182" s="5" t="str">
        <f t="shared" si="10"/>
        <v/>
      </c>
      <c r="L182" s="5" t="str">
        <f>IF(H182="Estándar",I182*'Costos y metas'!$E$26,IF(H182="Premium",I182*'Costos y metas'!$E$27,IF(H182="Pack 2 Estándar",I182*2*'Costos y metas'!$E$26,IF(H182="Pack mixto",I182*('Costos y metas'!$E$26+'Costos y metas'!$E$27),""))))</f>
        <v/>
      </c>
      <c r="M182" s="5" t="str">
        <f t="shared" si="11"/>
        <v/>
      </c>
      <c r="N182" s="1"/>
      <c r="O182" s="11"/>
      <c r="P182" s="56"/>
    </row>
    <row r="183" spans="1:16">
      <c r="A183" s="55"/>
      <c r="B183" s="1"/>
      <c r="C183" s="1"/>
      <c r="D183" s="1"/>
      <c r="E183" s="1"/>
      <c r="F183" s="1"/>
      <c r="G183" s="1"/>
      <c r="H183" s="1"/>
      <c r="I183" s="7"/>
      <c r="J183" s="5" t="str">
        <f>IF(H183="Estándar",'Costos y metas'!$B$14,IF(H183="Premium",'Costos y metas'!$B$15,IF(H183="Pack 2 Estándar",'Costos y metas'!$G$42,IF(H183="Pack mixto",'Costos y metas'!$G$43,""))))</f>
        <v/>
      </c>
      <c r="K183" s="5" t="str">
        <f t="shared" si="10"/>
        <v/>
      </c>
      <c r="L183" s="5" t="str">
        <f>IF(H183="Estándar",I183*'Costos y metas'!$E$26,IF(H183="Premium",I183*'Costos y metas'!$E$27,IF(H183="Pack 2 Estándar",I183*2*'Costos y metas'!$E$26,IF(H183="Pack mixto",I183*('Costos y metas'!$E$26+'Costos y metas'!$E$27),""))))</f>
        <v/>
      </c>
      <c r="M183" s="5" t="str">
        <f t="shared" si="11"/>
        <v/>
      </c>
      <c r="N183" s="1"/>
      <c r="O183" s="11"/>
      <c r="P183" s="56"/>
    </row>
    <row r="184" spans="1:16">
      <c r="A184" s="55"/>
      <c r="B184" s="1"/>
      <c r="C184" s="1"/>
      <c r="D184" s="1"/>
      <c r="E184" s="1"/>
      <c r="F184" s="1"/>
      <c r="G184" s="1"/>
      <c r="H184" s="1"/>
      <c r="I184" s="7"/>
      <c r="J184" s="5" t="str">
        <f>IF(H184="Estándar",'Costos y metas'!$B$14,IF(H184="Premium",'Costos y metas'!$B$15,IF(H184="Pack 2 Estándar",'Costos y metas'!$G$42,IF(H184="Pack mixto",'Costos y metas'!$G$43,""))))</f>
        <v/>
      </c>
      <c r="K184" s="5" t="str">
        <f t="shared" si="10"/>
        <v/>
      </c>
      <c r="L184" s="5" t="str">
        <f>IF(H184="Estándar",I184*'Costos y metas'!$E$26,IF(H184="Premium",I184*'Costos y metas'!$E$27,IF(H184="Pack 2 Estándar",I184*2*'Costos y metas'!$E$26,IF(H184="Pack mixto",I184*('Costos y metas'!$E$26+'Costos y metas'!$E$27),""))))</f>
        <v/>
      </c>
      <c r="M184" s="5" t="str">
        <f t="shared" si="11"/>
        <v/>
      </c>
      <c r="N184" s="1"/>
      <c r="O184" s="11"/>
      <c r="P184" s="56"/>
    </row>
    <row r="185" spans="1:16">
      <c r="A185" s="55"/>
      <c r="B185" s="1"/>
      <c r="C185" s="1"/>
      <c r="D185" s="1"/>
      <c r="E185" s="1"/>
      <c r="F185" s="1"/>
      <c r="G185" s="1"/>
      <c r="H185" s="1"/>
      <c r="I185" s="7"/>
      <c r="J185" s="5" t="str">
        <f>IF(H185="Estándar",'Costos y metas'!$B$14,IF(H185="Premium",'Costos y metas'!$B$15,IF(H185="Pack 2 Estándar",'Costos y metas'!$G$42,IF(H185="Pack mixto",'Costos y metas'!$G$43,""))))</f>
        <v/>
      </c>
      <c r="K185" s="5" t="str">
        <f t="shared" si="10"/>
        <v/>
      </c>
      <c r="L185" s="5" t="str">
        <f>IF(H185="Estándar",I185*'Costos y metas'!$E$26,IF(H185="Premium",I185*'Costos y metas'!$E$27,IF(H185="Pack 2 Estándar",I185*2*'Costos y metas'!$E$26,IF(H185="Pack mixto",I185*('Costos y metas'!$E$26+'Costos y metas'!$E$27),""))))</f>
        <v/>
      </c>
      <c r="M185" s="5" t="str">
        <f t="shared" si="11"/>
        <v/>
      </c>
      <c r="N185" s="1"/>
      <c r="O185" s="11"/>
      <c r="P185" s="56"/>
    </row>
    <row r="186" spans="1:16">
      <c r="A186" s="55"/>
      <c r="B186" s="1"/>
      <c r="C186" s="1"/>
      <c r="D186" s="1"/>
      <c r="E186" s="1"/>
      <c r="F186" s="1"/>
      <c r="G186" s="1"/>
      <c r="H186" s="1"/>
      <c r="I186" s="7"/>
      <c r="J186" s="5" t="str">
        <f>IF(H186="Estándar",'Costos y metas'!$B$14,IF(H186="Premium",'Costos y metas'!$B$15,IF(H186="Pack 2 Estándar",'Costos y metas'!$G$42,IF(H186="Pack mixto",'Costos y metas'!$G$43,""))))</f>
        <v/>
      </c>
      <c r="K186" s="5" t="str">
        <f t="shared" si="10"/>
        <v/>
      </c>
      <c r="L186" s="5" t="str">
        <f>IF(H186="Estándar",I186*'Costos y metas'!$E$26,IF(H186="Premium",I186*'Costos y metas'!$E$27,IF(H186="Pack 2 Estándar",I186*2*'Costos y metas'!$E$26,IF(H186="Pack mixto",I186*('Costos y metas'!$E$26+'Costos y metas'!$E$27),""))))</f>
        <v/>
      </c>
      <c r="M186" s="5" t="str">
        <f t="shared" si="11"/>
        <v/>
      </c>
      <c r="N186" s="1"/>
      <c r="O186" s="11"/>
      <c r="P186" s="56"/>
    </row>
    <row r="187" spans="1:16">
      <c r="A187" s="55"/>
      <c r="B187" s="1"/>
      <c r="C187" s="1"/>
      <c r="D187" s="1"/>
      <c r="E187" s="1"/>
      <c r="F187" s="1"/>
      <c r="G187" s="1"/>
      <c r="H187" s="1"/>
      <c r="I187" s="7"/>
      <c r="J187" s="5" t="str">
        <f>IF(H187="Estándar",'Costos y metas'!$B$14,IF(H187="Premium",'Costos y metas'!$B$15,IF(H187="Pack 2 Estándar",'Costos y metas'!$G$42,IF(H187="Pack mixto",'Costos y metas'!$G$43,""))))</f>
        <v/>
      </c>
      <c r="K187" s="5" t="str">
        <f t="shared" si="10"/>
        <v/>
      </c>
      <c r="L187" s="5" t="str">
        <f>IF(H187="Estándar",I187*'Costos y metas'!$E$26,IF(H187="Premium",I187*'Costos y metas'!$E$27,IF(H187="Pack 2 Estándar",I187*2*'Costos y metas'!$E$26,IF(H187="Pack mixto",I187*('Costos y metas'!$E$26+'Costos y metas'!$E$27),""))))</f>
        <v/>
      </c>
      <c r="M187" s="5" t="str">
        <f t="shared" si="11"/>
        <v/>
      </c>
      <c r="N187" s="1"/>
      <c r="O187" s="11"/>
      <c r="P187" s="56"/>
    </row>
    <row r="188" spans="1:16">
      <c r="A188" s="55"/>
      <c r="B188" s="1"/>
      <c r="C188" s="1"/>
      <c r="D188" s="1"/>
      <c r="E188" s="1"/>
      <c r="F188" s="1"/>
      <c r="G188" s="1"/>
      <c r="H188" s="1"/>
      <c r="I188" s="7"/>
      <c r="J188" s="5" t="str">
        <f>IF(H188="Estándar",'Costos y metas'!$B$14,IF(H188="Premium",'Costos y metas'!$B$15,IF(H188="Pack 2 Estándar",'Costos y metas'!$G$42,IF(H188="Pack mixto",'Costos y metas'!$G$43,""))))</f>
        <v/>
      </c>
      <c r="K188" s="5" t="str">
        <f t="shared" si="10"/>
        <v/>
      </c>
      <c r="L188" s="5" t="str">
        <f>IF(H188="Estándar",I188*'Costos y metas'!$E$26,IF(H188="Premium",I188*'Costos y metas'!$E$27,IF(H188="Pack 2 Estándar",I188*2*'Costos y metas'!$E$26,IF(H188="Pack mixto",I188*('Costos y metas'!$E$26+'Costos y metas'!$E$27),""))))</f>
        <v/>
      </c>
      <c r="M188" s="5" t="str">
        <f t="shared" si="11"/>
        <v/>
      </c>
      <c r="N188" s="1"/>
      <c r="O188" s="11"/>
      <c r="P188" s="56"/>
    </row>
    <row r="189" spans="1:16">
      <c r="A189" s="55"/>
      <c r="B189" s="1"/>
      <c r="C189" s="1"/>
      <c r="D189" s="1"/>
      <c r="E189" s="1"/>
      <c r="F189" s="1"/>
      <c r="G189" s="1"/>
      <c r="H189" s="1"/>
      <c r="I189" s="7"/>
      <c r="J189" s="5" t="str">
        <f>IF(H189="Estándar",'Costos y metas'!$B$14,IF(H189="Premium",'Costos y metas'!$B$15,IF(H189="Pack 2 Estándar",'Costos y metas'!$G$42,IF(H189="Pack mixto",'Costos y metas'!$G$43,""))))</f>
        <v/>
      </c>
      <c r="K189" s="5" t="str">
        <f t="shared" si="10"/>
        <v/>
      </c>
      <c r="L189" s="5" t="str">
        <f>IF(H189="Estándar",I189*'Costos y metas'!$E$26,IF(H189="Premium",I189*'Costos y metas'!$E$27,IF(H189="Pack 2 Estándar",I189*2*'Costos y metas'!$E$26,IF(H189="Pack mixto",I189*('Costos y metas'!$E$26+'Costos y metas'!$E$27),""))))</f>
        <v/>
      </c>
      <c r="M189" s="5" t="str">
        <f t="shared" si="11"/>
        <v/>
      </c>
      <c r="N189" s="1"/>
      <c r="O189" s="11"/>
      <c r="P189" s="56"/>
    </row>
    <row r="190" spans="1:16">
      <c r="A190" s="55"/>
      <c r="B190" s="1"/>
      <c r="C190" s="1"/>
      <c r="D190" s="1"/>
      <c r="E190" s="1"/>
      <c r="F190" s="1"/>
      <c r="G190" s="1"/>
      <c r="H190" s="1"/>
      <c r="I190" s="7"/>
      <c r="J190" s="5" t="str">
        <f>IF(H190="Estándar",'Costos y metas'!$B$14,IF(H190="Premium",'Costos y metas'!$B$15,IF(H190="Pack 2 Estándar",'Costos y metas'!$G$42,IF(H190="Pack mixto",'Costos y metas'!$G$43,""))))</f>
        <v/>
      </c>
      <c r="K190" s="5" t="str">
        <f t="shared" si="10"/>
        <v/>
      </c>
      <c r="L190" s="5" t="str">
        <f>IF(H190="Estándar",I190*'Costos y metas'!$E$26,IF(H190="Premium",I190*'Costos y metas'!$E$27,IF(H190="Pack 2 Estándar",I190*2*'Costos y metas'!$E$26,IF(H190="Pack mixto",I190*('Costos y metas'!$E$26+'Costos y metas'!$E$27),""))))</f>
        <v/>
      </c>
      <c r="M190" s="5" t="str">
        <f t="shared" si="11"/>
        <v/>
      </c>
      <c r="N190" s="1"/>
      <c r="O190" s="11"/>
      <c r="P190" s="56"/>
    </row>
    <row r="191" spans="1:16">
      <c r="A191" s="55"/>
      <c r="B191" s="1"/>
      <c r="C191" s="1"/>
      <c r="D191" s="1"/>
      <c r="E191" s="1"/>
      <c r="F191" s="1"/>
      <c r="G191" s="1"/>
      <c r="H191" s="1"/>
      <c r="I191" s="7"/>
      <c r="J191" s="5" t="str">
        <f>IF(H191="Estándar",'Costos y metas'!$B$14,IF(H191="Premium",'Costos y metas'!$B$15,IF(H191="Pack 2 Estándar",'Costos y metas'!$G$42,IF(H191="Pack mixto",'Costos y metas'!$G$43,""))))</f>
        <v/>
      </c>
      <c r="K191" s="5" t="str">
        <f t="shared" si="10"/>
        <v/>
      </c>
      <c r="L191" s="5" t="str">
        <f>IF(H191="Estándar",I191*'Costos y metas'!$E$26,IF(H191="Premium",I191*'Costos y metas'!$E$27,IF(H191="Pack 2 Estándar",I191*2*'Costos y metas'!$E$26,IF(H191="Pack mixto",I191*('Costos y metas'!$E$26+'Costos y metas'!$E$27),""))))</f>
        <v/>
      </c>
      <c r="M191" s="5" t="str">
        <f t="shared" si="11"/>
        <v/>
      </c>
      <c r="N191" s="1"/>
      <c r="O191" s="11"/>
      <c r="P191" s="56"/>
    </row>
    <row r="192" spans="1:16">
      <c r="A192" s="55"/>
      <c r="B192" s="1"/>
      <c r="C192" s="1"/>
      <c r="D192" s="1"/>
      <c r="E192" s="1"/>
      <c r="F192" s="1"/>
      <c r="G192" s="1"/>
      <c r="H192" s="1"/>
      <c r="I192" s="7"/>
      <c r="J192" s="5" t="str">
        <f>IF(H192="Estándar",'Costos y metas'!$B$14,IF(H192="Premium",'Costos y metas'!$B$15,IF(H192="Pack 2 Estándar",'Costos y metas'!$G$42,IF(H192="Pack mixto",'Costos y metas'!$G$43,""))))</f>
        <v/>
      </c>
      <c r="K192" s="5" t="str">
        <f t="shared" si="10"/>
        <v/>
      </c>
      <c r="L192" s="5" t="str">
        <f>IF(H192="Estándar",I192*'Costos y metas'!$E$26,IF(H192="Premium",I192*'Costos y metas'!$E$27,IF(H192="Pack 2 Estándar",I192*2*'Costos y metas'!$E$26,IF(H192="Pack mixto",I192*('Costos y metas'!$E$26+'Costos y metas'!$E$27),""))))</f>
        <v/>
      </c>
      <c r="M192" s="5" t="str">
        <f t="shared" si="11"/>
        <v/>
      </c>
      <c r="N192" s="1"/>
      <c r="O192" s="11"/>
      <c r="P192" s="56"/>
    </row>
    <row r="193" spans="1:16">
      <c r="A193" s="55"/>
      <c r="B193" s="1"/>
      <c r="C193" s="1"/>
      <c r="D193" s="1"/>
      <c r="E193" s="1"/>
      <c r="F193" s="1"/>
      <c r="G193" s="1"/>
      <c r="H193" s="1"/>
      <c r="I193" s="7"/>
      <c r="J193" s="5" t="str">
        <f>IF(H193="Estándar",'Costos y metas'!$B$14,IF(H193="Premium",'Costos y metas'!$B$15,IF(H193="Pack 2 Estándar",'Costos y metas'!$G$42,IF(H193="Pack mixto",'Costos y metas'!$G$43,""))))</f>
        <v/>
      </c>
      <c r="K193" s="5" t="str">
        <f t="shared" si="10"/>
        <v/>
      </c>
      <c r="L193" s="5" t="str">
        <f>IF(H193="Estándar",I193*'Costos y metas'!$E$26,IF(H193="Premium",I193*'Costos y metas'!$E$27,IF(H193="Pack 2 Estándar",I193*2*'Costos y metas'!$E$26,IF(H193="Pack mixto",I193*('Costos y metas'!$E$26+'Costos y metas'!$E$27),""))))</f>
        <v/>
      </c>
      <c r="M193" s="5" t="str">
        <f t="shared" si="11"/>
        <v/>
      </c>
      <c r="N193" s="1"/>
      <c r="O193" s="11"/>
      <c r="P193" s="56"/>
    </row>
    <row r="194" spans="1:16">
      <c r="A194" s="55"/>
      <c r="B194" s="1"/>
      <c r="C194" s="1"/>
      <c r="D194" s="1"/>
      <c r="E194" s="1"/>
      <c r="F194" s="1"/>
      <c r="G194" s="1"/>
      <c r="H194" s="1"/>
      <c r="I194" s="7"/>
      <c r="J194" s="5" t="str">
        <f>IF(H194="Estándar",'Costos y metas'!$B$14,IF(H194="Premium",'Costos y metas'!$B$15,IF(H194="Pack 2 Estándar",'Costos y metas'!$G$42,IF(H194="Pack mixto",'Costos y metas'!$G$43,""))))</f>
        <v/>
      </c>
      <c r="K194" s="5" t="str">
        <f t="shared" si="10"/>
        <v/>
      </c>
      <c r="L194" s="5" t="str">
        <f>IF(H194="Estándar",I194*'Costos y metas'!$E$26,IF(H194="Premium",I194*'Costos y metas'!$E$27,IF(H194="Pack 2 Estándar",I194*2*'Costos y metas'!$E$26,IF(H194="Pack mixto",I194*('Costos y metas'!$E$26+'Costos y metas'!$E$27),""))))</f>
        <v/>
      </c>
      <c r="M194" s="5" t="str">
        <f t="shared" si="11"/>
        <v/>
      </c>
      <c r="N194" s="1"/>
      <c r="O194" s="11"/>
      <c r="P194" s="56"/>
    </row>
    <row r="195" spans="1:16">
      <c r="A195" s="55"/>
      <c r="B195" s="1"/>
      <c r="C195" s="1"/>
      <c r="D195" s="1"/>
      <c r="E195" s="1"/>
      <c r="F195" s="1"/>
      <c r="G195" s="1"/>
      <c r="H195" s="1"/>
      <c r="I195" s="7"/>
      <c r="J195" s="5" t="str">
        <f>IF(H195="Estándar",'Costos y metas'!$B$14,IF(H195="Premium",'Costos y metas'!$B$15,IF(H195="Pack 2 Estándar",'Costos y metas'!$G$42,IF(H195="Pack mixto",'Costos y metas'!$G$43,""))))</f>
        <v/>
      </c>
      <c r="K195" s="5" t="str">
        <f t="shared" si="10"/>
        <v/>
      </c>
      <c r="L195" s="5" t="str">
        <f>IF(H195="Estándar",I195*'Costos y metas'!$E$26,IF(H195="Premium",I195*'Costos y metas'!$E$27,IF(H195="Pack 2 Estándar",I195*2*'Costos y metas'!$E$26,IF(H195="Pack mixto",I195*('Costos y metas'!$E$26+'Costos y metas'!$E$27),""))))</f>
        <v/>
      </c>
      <c r="M195" s="5" t="str">
        <f t="shared" si="11"/>
        <v/>
      </c>
      <c r="N195" s="1"/>
      <c r="O195" s="11"/>
      <c r="P195" s="56"/>
    </row>
    <row r="196" spans="1:16">
      <c r="A196" s="55"/>
      <c r="B196" s="1"/>
      <c r="C196" s="1"/>
      <c r="D196" s="1"/>
      <c r="E196" s="1"/>
      <c r="F196" s="1"/>
      <c r="G196" s="1"/>
      <c r="H196" s="1"/>
      <c r="I196" s="7"/>
      <c r="J196" s="5" t="str">
        <f>IF(H196="Estándar",'Costos y metas'!$B$14,IF(H196="Premium",'Costos y metas'!$B$15,IF(H196="Pack 2 Estándar",'Costos y metas'!$G$42,IF(H196="Pack mixto",'Costos y metas'!$G$43,""))))</f>
        <v/>
      </c>
      <c r="K196" s="5" t="str">
        <f t="shared" si="10"/>
        <v/>
      </c>
      <c r="L196" s="5" t="str">
        <f>IF(H196="Estándar",I196*'Costos y metas'!$E$26,IF(H196="Premium",I196*'Costos y metas'!$E$27,IF(H196="Pack 2 Estándar",I196*2*'Costos y metas'!$E$26,IF(H196="Pack mixto",I196*('Costos y metas'!$E$26+'Costos y metas'!$E$27),""))))</f>
        <v/>
      </c>
      <c r="M196" s="5" t="str">
        <f t="shared" si="11"/>
        <v/>
      </c>
      <c r="N196" s="1"/>
      <c r="O196" s="11"/>
      <c r="P196" s="56"/>
    </row>
    <row r="197" spans="1:16">
      <c r="A197" s="55"/>
      <c r="B197" s="1"/>
      <c r="C197" s="1"/>
      <c r="D197" s="1"/>
      <c r="E197" s="1"/>
      <c r="F197" s="1"/>
      <c r="G197" s="1"/>
      <c r="H197" s="1"/>
      <c r="I197" s="7"/>
      <c r="J197" s="5" t="str">
        <f>IF(H197="Estándar",'Costos y metas'!$B$14,IF(H197="Premium",'Costos y metas'!$B$15,IF(H197="Pack 2 Estándar",'Costos y metas'!$G$42,IF(H197="Pack mixto",'Costos y metas'!$G$43,""))))</f>
        <v/>
      </c>
      <c r="K197" s="5" t="str">
        <f t="shared" si="10"/>
        <v/>
      </c>
      <c r="L197" s="5" t="str">
        <f>IF(H197="Estándar",I197*'Costos y metas'!$E$26,IF(H197="Premium",I197*'Costos y metas'!$E$27,IF(H197="Pack 2 Estándar",I197*2*'Costos y metas'!$E$26,IF(H197="Pack mixto",I197*('Costos y metas'!$E$26+'Costos y metas'!$E$27),""))))</f>
        <v/>
      </c>
      <c r="M197" s="5" t="str">
        <f t="shared" si="11"/>
        <v/>
      </c>
      <c r="N197" s="1"/>
      <c r="O197" s="11"/>
      <c r="P197" s="56"/>
    </row>
    <row r="198" spans="1:16">
      <c r="A198" s="55"/>
      <c r="B198" s="1"/>
      <c r="C198" s="1"/>
      <c r="D198" s="1"/>
      <c r="E198" s="1"/>
      <c r="F198" s="1"/>
      <c r="G198" s="1"/>
      <c r="H198" s="1"/>
      <c r="I198" s="7"/>
      <c r="J198" s="5" t="str">
        <f>IF(H198="Estándar",'Costos y metas'!$B$14,IF(H198="Premium",'Costos y metas'!$B$15,IF(H198="Pack 2 Estándar",'Costos y metas'!$G$42,IF(H198="Pack mixto",'Costos y metas'!$G$43,""))))</f>
        <v/>
      </c>
      <c r="K198" s="5" t="str">
        <f t="shared" ref="K198:K205" si="12">IF(OR(I198="",J198=""),"",I198*J198)</f>
        <v/>
      </c>
      <c r="L198" s="5" t="str">
        <f>IF(H198="Estándar",I198*'Costos y metas'!$E$26,IF(H198="Premium",I198*'Costos y metas'!$E$27,IF(H198="Pack 2 Estándar",I198*2*'Costos y metas'!$E$26,IF(H198="Pack mixto",I198*('Costos y metas'!$E$26+'Costos y metas'!$E$27),""))))</f>
        <v/>
      </c>
      <c r="M198" s="5" t="str">
        <f t="shared" ref="M198:M205" si="13">IF(OR(K198="",L198=""),"",K198-L198)</f>
        <v/>
      </c>
      <c r="N198" s="1"/>
      <c r="O198" s="11"/>
      <c r="P198" s="56"/>
    </row>
    <row r="199" spans="1:16">
      <c r="A199" s="55"/>
      <c r="B199" s="1"/>
      <c r="C199" s="1"/>
      <c r="D199" s="1"/>
      <c r="E199" s="1"/>
      <c r="F199" s="1"/>
      <c r="G199" s="1"/>
      <c r="H199" s="1"/>
      <c r="I199" s="7"/>
      <c r="J199" s="5" t="str">
        <f>IF(H199="Estándar",'Costos y metas'!$B$14,IF(H199="Premium",'Costos y metas'!$B$15,IF(H199="Pack 2 Estándar",'Costos y metas'!$G$42,IF(H199="Pack mixto",'Costos y metas'!$G$43,""))))</f>
        <v/>
      </c>
      <c r="K199" s="5" t="str">
        <f t="shared" si="12"/>
        <v/>
      </c>
      <c r="L199" s="5" t="str">
        <f>IF(H199="Estándar",I199*'Costos y metas'!$E$26,IF(H199="Premium",I199*'Costos y metas'!$E$27,IF(H199="Pack 2 Estándar",I199*2*'Costos y metas'!$E$26,IF(H199="Pack mixto",I199*('Costos y metas'!$E$26+'Costos y metas'!$E$27),""))))</f>
        <v/>
      </c>
      <c r="M199" s="5" t="str">
        <f t="shared" si="13"/>
        <v/>
      </c>
      <c r="N199" s="1"/>
      <c r="O199" s="11"/>
      <c r="P199" s="56"/>
    </row>
    <row r="200" spans="1:16">
      <c r="A200" s="55"/>
      <c r="B200" s="1"/>
      <c r="C200" s="1"/>
      <c r="D200" s="1"/>
      <c r="E200" s="1"/>
      <c r="F200" s="1"/>
      <c r="G200" s="1"/>
      <c r="H200" s="1"/>
      <c r="I200" s="7"/>
      <c r="J200" s="5" t="str">
        <f>IF(H200="Estándar",'Costos y metas'!$B$14,IF(H200="Premium",'Costos y metas'!$B$15,IF(H200="Pack 2 Estándar",'Costos y metas'!$G$42,IF(H200="Pack mixto",'Costos y metas'!$G$43,""))))</f>
        <v/>
      </c>
      <c r="K200" s="5" t="str">
        <f t="shared" si="12"/>
        <v/>
      </c>
      <c r="L200" s="5" t="str">
        <f>IF(H200="Estándar",I200*'Costos y metas'!$E$26,IF(H200="Premium",I200*'Costos y metas'!$E$27,IF(H200="Pack 2 Estándar",I200*2*'Costos y metas'!$E$26,IF(H200="Pack mixto",I200*('Costos y metas'!$E$26+'Costos y metas'!$E$27),""))))</f>
        <v/>
      </c>
      <c r="M200" s="5" t="str">
        <f t="shared" si="13"/>
        <v/>
      </c>
      <c r="N200" s="1"/>
      <c r="O200" s="11"/>
      <c r="P200" s="56"/>
    </row>
    <row r="201" spans="1:16">
      <c r="A201" s="55"/>
      <c r="B201" s="1"/>
      <c r="C201" s="1"/>
      <c r="D201" s="1"/>
      <c r="E201" s="1"/>
      <c r="F201" s="1"/>
      <c r="G201" s="1"/>
      <c r="H201" s="1"/>
      <c r="I201" s="7"/>
      <c r="J201" s="5" t="str">
        <f>IF(H201="Estándar",'Costos y metas'!$B$14,IF(H201="Premium",'Costos y metas'!$B$15,IF(H201="Pack 2 Estándar",'Costos y metas'!$G$42,IF(H201="Pack mixto",'Costos y metas'!$G$43,""))))</f>
        <v/>
      </c>
      <c r="K201" s="5" t="str">
        <f t="shared" si="12"/>
        <v/>
      </c>
      <c r="L201" s="5" t="str">
        <f>IF(H201="Estándar",I201*'Costos y metas'!$E$26,IF(H201="Premium",I201*'Costos y metas'!$E$27,IF(H201="Pack 2 Estándar",I201*2*'Costos y metas'!$E$26,IF(H201="Pack mixto",I201*('Costos y metas'!$E$26+'Costos y metas'!$E$27),""))))</f>
        <v/>
      </c>
      <c r="M201" s="5" t="str">
        <f t="shared" si="13"/>
        <v/>
      </c>
      <c r="N201" s="1"/>
      <c r="O201" s="11"/>
      <c r="P201" s="56"/>
    </row>
    <row r="202" spans="1:16">
      <c r="A202" s="55"/>
      <c r="B202" s="1"/>
      <c r="C202" s="1"/>
      <c r="D202" s="1"/>
      <c r="E202" s="1"/>
      <c r="F202" s="1"/>
      <c r="G202" s="1"/>
      <c r="H202" s="1"/>
      <c r="I202" s="7"/>
      <c r="J202" s="5" t="str">
        <f>IF(H202="Estándar",'Costos y metas'!$B$14,IF(H202="Premium",'Costos y metas'!$B$15,IF(H202="Pack 2 Estándar",'Costos y metas'!$G$42,IF(H202="Pack mixto",'Costos y metas'!$G$43,""))))</f>
        <v/>
      </c>
      <c r="K202" s="5" t="str">
        <f t="shared" si="12"/>
        <v/>
      </c>
      <c r="L202" s="5" t="str">
        <f>IF(H202="Estándar",I202*'Costos y metas'!$E$26,IF(H202="Premium",I202*'Costos y metas'!$E$27,IF(H202="Pack 2 Estándar",I202*2*'Costos y metas'!$E$26,IF(H202="Pack mixto",I202*('Costos y metas'!$E$26+'Costos y metas'!$E$27),""))))</f>
        <v/>
      </c>
      <c r="M202" s="5" t="str">
        <f t="shared" si="13"/>
        <v/>
      </c>
      <c r="N202" s="1"/>
      <c r="O202" s="11"/>
      <c r="P202" s="56"/>
    </row>
    <row r="203" spans="1:16">
      <c r="A203" s="55"/>
      <c r="B203" s="1"/>
      <c r="C203" s="1"/>
      <c r="D203" s="1"/>
      <c r="E203" s="1"/>
      <c r="F203" s="1"/>
      <c r="G203" s="1"/>
      <c r="H203" s="1"/>
      <c r="I203" s="7"/>
      <c r="J203" s="5" t="str">
        <f>IF(H203="Estándar",'Costos y metas'!$B$14,IF(H203="Premium",'Costos y metas'!$B$15,IF(H203="Pack 2 Estándar",'Costos y metas'!$G$42,IF(H203="Pack mixto",'Costos y metas'!$G$43,""))))</f>
        <v/>
      </c>
      <c r="K203" s="5" t="str">
        <f t="shared" si="12"/>
        <v/>
      </c>
      <c r="L203" s="5" t="str">
        <f>IF(H203="Estándar",I203*'Costos y metas'!$E$26,IF(H203="Premium",I203*'Costos y metas'!$E$27,IF(H203="Pack 2 Estándar",I203*2*'Costos y metas'!$E$26,IF(H203="Pack mixto",I203*('Costos y metas'!$E$26+'Costos y metas'!$E$27),""))))</f>
        <v/>
      </c>
      <c r="M203" s="5" t="str">
        <f t="shared" si="13"/>
        <v/>
      </c>
      <c r="N203" s="1"/>
      <c r="O203" s="11"/>
      <c r="P203" s="56"/>
    </row>
    <row r="204" spans="1:16">
      <c r="A204" s="55"/>
      <c r="B204" s="1"/>
      <c r="C204" s="1"/>
      <c r="D204" s="1"/>
      <c r="E204" s="1"/>
      <c r="F204" s="1"/>
      <c r="G204" s="1"/>
      <c r="H204" s="1"/>
      <c r="I204" s="7"/>
      <c r="J204" s="5" t="str">
        <f>IF(H204="Estándar",'Costos y metas'!$B$14,IF(H204="Premium",'Costos y metas'!$B$15,IF(H204="Pack 2 Estándar",'Costos y metas'!$G$42,IF(H204="Pack mixto",'Costos y metas'!$G$43,""))))</f>
        <v/>
      </c>
      <c r="K204" s="5" t="str">
        <f t="shared" si="12"/>
        <v/>
      </c>
      <c r="L204" s="5" t="str">
        <f>IF(H204="Estándar",I204*'Costos y metas'!$E$26,IF(H204="Premium",I204*'Costos y metas'!$E$27,IF(H204="Pack 2 Estándar",I204*2*'Costos y metas'!$E$26,IF(H204="Pack mixto",I204*('Costos y metas'!$E$26+'Costos y metas'!$E$27),""))))</f>
        <v/>
      </c>
      <c r="M204" s="5" t="str">
        <f t="shared" si="13"/>
        <v/>
      </c>
      <c r="N204" s="1"/>
      <c r="O204" s="11"/>
      <c r="P204" s="56"/>
    </row>
    <row r="205" spans="1:16">
      <c r="A205" s="57"/>
      <c r="B205" s="58"/>
      <c r="C205" s="58"/>
      <c r="D205" s="58"/>
      <c r="E205" s="58"/>
      <c r="F205" s="58"/>
      <c r="G205" s="58"/>
      <c r="H205" s="58"/>
      <c r="I205" s="59"/>
      <c r="J205" s="60" t="str">
        <f>IF(H205="Estándar",'Costos y metas'!$B$14,IF(H205="Premium",'Costos y metas'!$B$15,IF(H205="Pack 2 Estándar",'Costos y metas'!$G$42,IF(H205="Pack mixto",'Costos y metas'!$G$43,""))))</f>
        <v/>
      </c>
      <c r="K205" s="60" t="str">
        <f t="shared" si="12"/>
        <v/>
      </c>
      <c r="L205" s="60" t="str">
        <f>IF(H205="Estándar",I205*'Costos y metas'!$E$26,IF(H205="Premium",I205*'Costos y metas'!$E$27,IF(H205="Pack 2 Estándar",I205*2*'Costos y metas'!$E$26,IF(H205="Pack mixto",I205*('Costos y metas'!$E$26+'Costos y metas'!$E$27),""))))</f>
        <v/>
      </c>
      <c r="M205" s="60" t="str">
        <f t="shared" si="13"/>
        <v/>
      </c>
      <c r="N205" s="58"/>
      <c r="O205" s="61"/>
      <c r="P205" s="62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</sheetData>
  <conditionalFormatting sqref="G6:G205">
    <cfRule type="containsText" dxfId="5" priority="1" operator="containsText" text="Ganado"/>
    <cfRule type="containsText" dxfId="4" priority="2" operator="containsText" text="Perdido"/>
  </conditionalFormatting>
  <dataValidations count="3">
    <dataValidation type="list" sqref="G6:G205" xr:uid="{00000000-0002-0000-0300-000000000000}">
      <formula1>"Nuevo,Contactado,Respondió,Demo,Negociación,Ganado,Perdido"</formula1>
    </dataValidation>
    <dataValidation type="list" sqref="H6:H205" xr:uid="{00000000-0002-0000-0300-000001000000}">
      <formula1>"Estándar,Premium,Pack 2 Estándar,Pack mixto"</formula1>
    </dataValidation>
    <dataValidation type="whole" sqref="I6:I205" xr:uid="{00000000-0002-0000-0300-000002000000}">
      <formula1>1</formula1>
      <formula2>100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510"/>
  <sheetViews>
    <sheetView tabSelected="1" zoomScaleNormal="100" zoomScaleSheetLayoutView="100" workbookViewId="0">
      <selection activeCell="D7" sqref="D7"/>
    </sheetView>
  </sheetViews>
  <sheetFormatPr baseColWidth="10" defaultColWidth="9" defaultRowHeight="14.25"/>
  <cols>
    <col min="1" max="1" width="13" customWidth="1"/>
    <col min="2" max="2" width="12" customWidth="1"/>
    <col min="3" max="3" width="24" customWidth="1"/>
    <col min="4" max="4" width="30" customWidth="1"/>
    <col min="5" max="5" width="14" customWidth="1"/>
    <col min="6" max="6" width="17" customWidth="1"/>
    <col min="7" max="7" width="20" customWidth="1"/>
    <col min="8" max="8" width="14" customWidth="1"/>
    <col min="9" max="9" width="16" customWidth="1"/>
    <col min="10" max="10" width="30" customWidth="1"/>
  </cols>
  <sheetData>
    <row r="2" spans="1:10" ht="27.95" customHeight="1">
      <c r="A2" s="76" t="s">
        <v>250</v>
      </c>
      <c r="B2" s="76"/>
      <c r="C2" s="76"/>
      <c r="D2" s="76"/>
      <c r="E2" s="76"/>
      <c r="F2" s="76"/>
      <c r="G2" s="76"/>
      <c r="H2" s="76"/>
      <c r="I2" s="76"/>
      <c r="J2" s="76"/>
    </row>
    <row r="3" spans="1:10" ht="26.1" customHeight="1">
      <c r="A3" s="77" t="s">
        <v>251</v>
      </c>
      <c r="B3" s="77"/>
      <c r="C3" s="77"/>
      <c r="D3" s="77"/>
      <c r="E3" s="77"/>
      <c r="F3" s="77"/>
      <c r="G3" s="77"/>
      <c r="H3" s="77"/>
      <c r="I3" s="77"/>
      <c r="J3" s="77"/>
    </row>
    <row r="5" spans="1:10" ht="24" customHeight="1">
      <c r="A5" s="12" t="s">
        <v>252</v>
      </c>
      <c r="B5" s="12" t="s">
        <v>253</v>
      </c>
      <c r="C5" s="12" t="s">
        <v>254</v>
      </c>
      <c r="D5" s="12" t="s">
        <v>255</v>
      </c>
      <c r="E5" s="12" t="s">
        <v>256</v>
      </c>
      <c r="F5" s="12" t="s">
        <v>5</v>
      </c>
      <c r="H5" s="15" t="s">
        <v>257</v>
      </c>
      <c r="I5" s="15" t="s">
        <v>80</v>
      </c>
    </row>
    <row r="6" spans="1:10" ht="15.75">
      <c r="A6" s="13">
        <f>SUMIFS($E$11:$E$510,$B$11:$B$510,"Ingreso")</f>
        <v>0</v>
      </c>
      <c r="B6" s="13">
        <f>SUMIFS($E$11:$E$510,$B$11:$B$510,"Gasto")</f>
        <v>442.71000000000004</v>
      </c>
      <c r="C6" s="13">
        <f>A6-B6</f>
        <v>-442.71000000000004</v>
      </c>
      <c r="D6" s="14">
        <f>0</f>
        <v>0</v>
      </c>
      <c r="E6" s="13">
        <f>D6+C6</f>
        <v>-442.71000000000004</v>
      </c>
      <c r="F6" s="13">
        <f>IF('Costos y metas'!$B$19&gt;0,C6/'Costos y metas'!$B$19,0)</f>
        <v>-221.35500000000002</v>
      </c>
      <c r="H6" s="16" t="s">
        <v>258</v>
      </c>
      <c r="I6" s="66">
        <f>A6</f>
        <v>0</v>
      </c>
    </row>
    <row r="7" spans="1:10">
      <c r="H7" s="16" t="s">
        <v>259</v>
      </c>
      <c r="I7" s="16">
        <f>B6</f>
        <v>442.71000000000004</v>
      </c>
    </row>
    <row r="10" spans="1:10" ht="27.95" customHeight="1">
      <c r="A10" s="17" t="s">
        <v>238</v>
      </c>
      <c r="B10" s="17" t="s">
        <v>260</v>
      </c>
      <c r="C10" s="17" t="s">
        <v>261</v>
      </c>
      <c r="D10" s="17" t="s">
        <v>262</v>
      </c>
      <c r="E10" s="17" t="s">
        <v>80</v>
      </c>
      <c r="F10" s="17" t="s">
        <v>263</v>
      </c>
      <c r="G10" s="17" t="s">
        <v>264</v>
      </c>
      <c r="H10" s="17" t="s">
        <v>265</v>
      </c>
      <c r="I10" s="17" t="s">
        <v>266</v>
      </c>
      <c r="J10" s="17" t="s">
        <v>249</v>
      </c>
    </row>
    <row r="11" spans="1:10" ht="15">
      <c r="A11" s="63">
        <v>46274</v>
      </c>
      <c r="B11" s="64" t="s">
        <v>267</v>
      </c>
      <c r="C11" s="64" t="s">
        <v>268</v>
      </c>
      <c r="D11" s="64" t="s">
        <v>269</v>
      </c>
      <c r="E11" s="65">
        <v>3.78</v>
      </c>
      <c r="F11" s="64" t="s">
        <v>270</v>
      </c>
      <c r="G11" s="64" t="s">
        <v>271</v>
      </c>
      <c r="H11" s="64" t="str">
        <f t="shared" ref="H11:H74" si="0">IF(A11="","",TEXT(A11,"mmm-yyyy"))</f>
        <v>sep-yyyy</v>
      </c>
      <c r="I11" s="65">
        <f t="shared" ref="I11:I74" si="1">IF(OR(B11="",E11=""),"",IF(B11="Ingreso",E11,-E11))</f>
        <v>-3.78</v>
      </c>
      <c r="J11" s="64"/>
    </row>
    <row r="12" spans="1:10" ht="28.5">
      <c r="A12" s="63">
        <v>46275</v>
      </c>
      <c r="B12" s="64" t="s">
        <v>267</v>
      </c>
      <c r="C12" s="64" t="s">
        <v>268</v>
      </c>
      <c r="D12" s="64" t="s">
        <v>272</v>
      </c>
      <c r="E12" s="65">
        <v>50</v>
      </c>
      <c r="F12" s="64" t="s">
        <v>270</v>
      </c>
      <c r="G12" s="64" t="s">
        <v>273</v>
      </c>
      <c r="H12" s="64" t="str">
        <f t="shared" si="0"/>
        <v>sep-yyyy</v>
      </c>
      <c r="I12" s="65">
        <f t="shared" si="1"/>
        <v>-50</v>
      </c>
      <c r="J12" s="64"/>
    </row>
    <row r="13" spans="1:10" ht="28.5">
      <c r="A13" s="63">
        <v>46287</v>
      </c>
      <c r="B13" s="64" t="s">
        <v>267</v>
      </c>
      <c r="C13" s="64" t="s">
        <v>268</v>
      </c>
      <c r="D13" s="64" t="s">
        <v>274</v>
      </c>
      <c r="E13" s="65">
        <v>388.93</v>
      </c>
      <c r="F13" s="64" t="s">
        <v>270</v>
      </c>
      <c r="G13" s="64" t="s">
        <v>273</v>
      </c>
      <c r="H13" s="64" t="str">
        <f t="shared" si="0"/>
        <v>sep-yyyy</v>
      </c>
      <c r="I13" s="65">
        <f t="shared" si="1"/>
        <v>-388.93</v>
      </c>
      <c r="J13" s="64" t="s">
        <v>275</v>
      </c>
    </row>
    <row r="14" spans="1:10">
      <c r="A14" s="63"/>
      <c r="B14" s="64"/>
      <c r="C14" s="64"/>
      <c r="D14" s="64"/>
      <c r="E14" s="65"/>
      <c r="F14" s="64"/>
      <c r="G14" s="64"/>
      <c r="H14" s="64" t="str">
        <f t="shared" si="0"/>
        <v/>
      </c>
      <c r="I14" s="65" t="str">
        <f t="shared" si="1"/>
        <v/>
      </c>
      <c r="J14" s="64"/>
    </row>
    <row r="15" spans="1:10">
      <c r="A15" s="63"/>
      <c r="B15" s="64"/>
      <c r="C15" s="64"/>
      <c r="D15" s="64"/>
      <c r="E15" s="65"/>
      <c r="F15" s="64"/>
      <c r="G15" s="64"/>
      <c r="H15" s="64" t="str">
        <f t="shared" si="0"/>
        <v/>
      </c>
      <c r="I15" s="65" t="str">
        <f t="shared" si="1"/>
        <v/>
      </c>
      <c r="J15" s="64"/>
    </row>
    <row r="16" spans="1:10">
      <c r="A16" s="63"/>
      <c r="B16" s="64"/>
      <c r="C16" s="64"/>
      <c r="D16" s="64"/>
      <c r="E16" s="65"/>
      <c r="F16" s="64"/>
      <c r="G16" s="64"/>
      <c r="H16" s="64" t="str">
        <f t="shared" si="0"/>
        <v/>
      </c>
      <c r="I16" s="65" t="str">
        <f t="shared" si="1"/>
        <v/>
      </c>
      <c r="J16" s="64"/>
    </row>
    <row r="17" spans="1:10">
      <c r="A17" s="63"/>
      <c r="B17" s="64"/>
      <c r="C17" s="64"/>
      <c r="D17" s="64"/>
      <c r="E17" s="65"/>
      <c r="F17" s="64"/>
      <c r="G17" s="64"/>
      <c r="H17" s="64" t="str">
        <f t="shared" si="0"/>
        <v/>
      </c>
      <c r="I17" s="65" t="str">
        <f t="shared" si="1"/>
        <v/>
      </c>
      <c r="J17" s="64"/>
    </row>
    <row r="18" spans="1:10">
      <c r="A18" s="63"/>
      <c r="B18" s="64"/>
      <c r="C18" s="64"/>
      <c r="D18" s="64"/>
      <c r="E18" s="65"/>
      <c r="F18" s="64"/>
      <c r="G18" s="64"/>
      <c r="H18" s="64" t="str">
        <f t="shared" si="0"/>
        <v/>
      </c>
      <c r="I18" s="65" t="str">
        <f t="shared" si="1"/>
        <v/>
      </c>
      <c r="J18" s="64"/>
    </row>
    <row r="19" spans="1:10">
      <c r="A19" s="63"/>
      <c r="B19" s="64"/>
      <c r="C19" s="64"/>
      <c r="D19" s="64"/>
      <c r="E19" s="65"/>
      <c r="F19" s="64"/>
      <c r="G19" s="64"/>
      <c r="H19" s="64" t="str">
        <f t="shared" si="0"/>
        <v/>
      </c>
      <c r="I19" s="65" t="str">
        <f t="shared" si="1"/>
        <v/>
      </c>
      <c r="J19" s="64"/>
    </row>
    <row r="20" spans="1:10">
      <c r="A20" s="63"/>
      <c r="B20" s="64"/>
      <c r="C20" s="64"/>
      <c r="D20" s="64"/>
      <c r="E20" s="65"/>
      <c r="F20" s="64"/>
      <c r="G20" s="64"/>
      <c r="H20" s="64" t="str">
        <f t="shared" si="0"/>
        <v/>
      </c>
      <c r="I20" s="65" t="str">
        <f t="shared" si="1"/>
        <v/>
      </c>
      <c r="J20" s="64"/>
    </row>
    <row r="21" spans="1:10">
      <c r="A21" s="63"/>
      <c r="B21" s="64"/>
      <c r="C21" s="64"/>
      <c r="D21" s="64"/>
      <c r="E21" s="65"/>
      <c r="F21" s="64"/>
      <c r="G21" s="64"/>
      <c r="H21" s="64" t="str">
        <f t="shared" si="0"/>
        <v/>
      </c>
      <c r="I21" s="65" t="str">
        <f t="shared" si="1"/>
        <v/>
      </c>
      <c r="J21" s="64"/>
    </row>
    <row r="22" spans="1:10">
      <c r="A22" s="63"/>
      <c r="B22" s="64"/>
      <c r="C22" s="64"/>
      <c r="D22" s="64"/>
      <c r="E22" s="65"/>
      <c r="F22" s="64"/>
      <c r="G22" s="64"/>
      <c r="H22" s="64" t="str">
        <f t="shared" si="0"/>
        <v/>
      </c>
      <c r="I22" s="65" t="str">
        <f t="shared" si="1"/>
        <v/>
      </c>
      <c r="J22" s="64"/>
    </row>
    <row r="23" spans="1:10">
      <c r="A23" s="63"/>
      <c r="B23" s="64"/>
      <c r="C23" s="64"/>
      <c r="D23" s="64"/>
      <c r="E23" s="65"/>
      <c r="F23" s="64"/>
      <c r="G23" s="64"/>
      <c r="H23" s="64" t="str">
        <f t="shared" si="0"/>
        <v/>
      </c>
      <c r="I23" s="65" t="str">
        <f t="shared" si="1"/>
        <v/>
      </c>
      <c r="J23" s="64"/>
    </row>
    <row r="24" spans="1:10">
      <c r="A24" s="63"/>
      <c r="B24" s="64"/>
      <c r="C24" s="64"/>
      <c r="D24" s="64"/>
      <c r="E24" s="65"/>
      <c r="F24" s="64"/>
      <c r="G24" s="64"/>
      <c r="H24" s="64" t="str">
        <f t="shared" si="0"/>
        <v/>
      </c>
      <c r="I24" s="65" t="str">
        <f t="shared" si="1"/>
        <v/>
      </c>
      <c r="J24" s="64"/>
    </row>
    <row r="25" spans="1:10">
      <c r="A25" s="63"/>
      <c r="B25" s="64"/>
      <c r="C25" s="64"/>
      <c r="D25" s="64"/>
      <c r="E25" s="65"/>
      <c r="F25" s="64"/>
      <c r="G25" s="64"/>
      <c r="H25" s="64" t="str">
        <f t="shared" si="0"/>
        <v/>
      </c>
      <c r="I25" s="65" t="str">
        <f t="shared" si="1"/>
        <v/>
      </c>
      <c r="J25" s="64"/>
    </row>
    <row r="26" spans="1:10">
      <c r="A26" s="63"/>
      <c r="B26" s="64"/>
      <c r="C26" s="64"/>
      <c r="D26" s="64"/>
      <c r="E26" s="65"/>
      <c r="F26" s="64"/>
      <c r="G26" s="64"/>
      <c r="H26" s="64" t="str">
        <f t="shared" si="0"/>
        <v/>
      </c>
      <c r="I26" s="65" t="str">
        <f t="shared" si="1"/>
        <v/>
      </c>
      <c r="J26" s="64"/>
    </row>
    <row r="27" spans="1:10">
      <c r="A27" s="63"/>
      <c r="B27" s="64"/>
      <c r="C27" s="64"/>
      <c r="D27" s="64"/>
      <c r="E27" s="65"/>
      <c r="F27" s="64"/>
      <c r="G27" s="64"/>
      <c r="H27" s="64" t="str">
        <f t="shared" si="0"/>
        <v/>
      </c>
      <c r="I27" s="65" t="str">
        <f t="shared" si="1"/>
        <v/>
      </c>
      <c r="J27" s="64"/>
    </row>
    <row r="28" spans="1:10">
      <c r="A28" s="63"/>
      <c r="B28" s="64"/>
      <c r="C28" s="64"/>
      <c r="D28" s="64"/>
      <c r="E28" s="65"/>
      <c r="F28" s="64"/>
      <c r="G28" s="64"/>
      <c r="H28" s="64" t="str">
        <f t="shared" si="0"/>
        <v/>
      </c>
      <c r="I28" s="65" t="str">
        <f t="shared" si="1"/>
        <v/>
      </c>
      <c r="J28" s="64"/>
    </row>
    <row r="29" spans="1:10">
      <c r="A29" s="63"/>
      <c r="B29" s="64"/>
      <c r="C29" s="64"/>
      <c r="D29" s="64"/>
      <c r="E29" s="65"/>
      <c r="F29" s="64"/>
      <c r="G29" s="64"/>
      <c r="H29" s="64" t="str">
        <f t="shared" si="0"/>
        <v/>
      </c>
      <c r="I29" s="65" t="str">
        <f t="shared" si="1"/>
        <v/>
      </c>
      <c r="J29" s="64"/>
    </row>
    <row r="30" spans="1:10">
      <c r="A30" s="63"/>
      <c r="B30" s="64"/>
      <c r="C30" s="64"/>
      <c r="D30" s="64"/>
      <c r="E30" s="65"/>
      <c r="F30" s="64"/>
      <c r="G30" s="64"/>
      <c r="H30" s="64" t="str">
        <f t="shared" si="0"/>
        <v/>
      </c>
      <c r="I30" s="65" t="str">
        <f t="shared" si="1"/>
        <v/>
      </c>
      <c r="J30" s="64"/>
    </row>
    <row r="31" spans="1:10">
      <c r="A31" s="63"/>
      <c r="B31" s="64"/>
      <c r="C31" s="64"/>
      <c r="D31" s="64"/>
      <c r="E31" s="65"/>
      <c r="F31" s="64"/>
      <c r="G31" s="64"/>
      <c r="H31" s="64" t="str">
        <f t="shared" si="0"/>
        <v/>
      </c>
      <c r="I31" s="65" t="str">
        <f t="shared" si="1"/>
        <v/>
      </c>
      <c r="J31" s="64"/>
    </row>
    <row r="32" spans="1:10">
      <c r="A32" s="63"/>
      <c r="B32" s="64"/>
      <c r="C32" s="64"/>
      <c r="D32" s="64"/>
      <c r="E32" s="65"/>
      <c r="F32" s="64"/>
      <c r="G32" s="64"/>
      <c r="H32" s="64" t="str">
        <f t="shared" si="0"/>
        <v/>
      </c>
      <c r="I32" s="65" t="str">
        <f t="shared" si="1"/>
        <v/>
      </c>
      <c r="J32" s="64"/>
    </row>
    <row r="33" spans="1:10">
      <c r="A33" s="63"/>
      <c r="B33" s="64"/>
      <c r="C33" s="64"/>
      <c r="D33" s="64"/>
      <c r="E33" s="65"/>
      <c r="F33" s="64"/>
      <c r="G33" s="64"/>
      <c r="H33" s="64" t="str">
        <f t="shared" si="0"/>
        <v/>
      </c>
      <c r="I33" s="65" t="str">
        <f t="shared" si="1"/>
        <v/>
      </c>
      <c r="J33" s="64"/>
    </row>
    <row r="34" spans="1:10">
      <c r="A34" s="63"/>
      <c r="B34" s="64"/>
      <c r="C34" s="64"/>
      <c r="D34" s="64"/>
      <c r="E34" s="65"/>
      <c r="F34" s="64"/>
      <c r="G34" s="64"/>
      <c r="H34" s="64" t="str">
        <f t="shared" si="0"/>
        <v/>
      </c>
      <c r="I34" s="65" t="str">
        <f t="shared" si="1"/>
        <v/>
      </c>
      <c r="J34" s="64"/>
    </row>
    <row r="35" spans="1:10">
      <c r="A35" s="63"/>
      <c r="B35" s="64"/>
      <c r="C35" s="64"/>
      <c r="D35" s="64"/>
      <c r="E35" s="65"/>
      <c r="F35" s="64"/>
      <c r="G35" s="64"/>
      <c r="H35" s="64" t="str">
        <f t="shared" si="0"/>
        <v/>
      </c>
      <c r="I35" s="65" t="str">
        <f t="shared" si="1"/>
        <v/>
      </c>
      <c r="J35" s="64"/>
    </row>
    <row r="36" spans="1:10">
      <c r="A36" s="63"/>
      <c r="B36" s="64"/>
      <c r="C36" s="64"/>
      <c r="D36" s="64"/>
      <c r="E36" s="65"/>
      <c r="F36" s="64"/>
      <c r="G36" s="64"/>
      <c r="H36" s="64" t="str">
        <f t="shared" si="0"/>
        <v/>
      </c>
      <c r="I36" s="65" t="str">
        <f t="shared" si="1"/>
        <v/>
      </c>
      <c r="J36" s="64"/>
    </row>
    <row r="37" spans="1:10">
      <c r="A37" s="63"/>
      <c r="B37" s="64"/>
      <c r="C37" s="64"/>
      <c r="D37" s="64"/>
      <c r="E37" s="65"/>
      <c r="F37" s="64"/>
      <c r="G37" s="64"/>
      <c r="H37" s="64" t="str">
        <f t="shared" si="0"/>
        <v/>
      </c>
      <c r="I37" s="65" t="str">
        <f t="shared" si="1"/>
        <v/>
      </c>
      <c r="J37" s="64"/>
    </row>
    <row r="38" spans="1:10">
      <c r="A38" s="63"/>
      <c r="B38" s="64"/>
      <c r="C38" s="64"/>
      <c r="D38" s="64"/>
      <c r="E38" s="65"/>
      <c r="F38" s="64"/>
      <c r="G38" s="64"/>
      <c r="H38" s="64" t="str">
        <f t="shared" si="0"/>
        <v/>
      </c>
      <c r="I38" s="65" t="str">
        <f t="shared" si="1"/>
        <v/>
      </c>
      <c r="J38" s="64"/>
    </row>
    <row r="39" spans="1:10">
      <c r="A39" s="63"/>
      <c r="B39" s="64"/>
      <c r="C39" s="64"/>
      <c r="D39" s="64"/>
      <c r="E39" s="65"/>
      <c r="F39" s="64"/>
      <c r="G39" s="64"/>
      <c r="H39" s="64" t="str">
        <f t="shared" si="0"/>
        <v/>
      </c>
      <c r="I39" s="65" t="str">
        <f t="shared" si="1"/>
        <v/>
      </c>
      <c r="J39" s="64"/>
    </row>
    <row r="40" spans="1:10">
      <c r="A40" s="63"/>
      <c r="B40" s="64"/>
      <c r="C40" s="64"/>
      <c r="D40" s="64"/>
      <c r="E40" s="65"/>
      <c r="F40" s="64"/>
      <c r="G40" s="64"/>
      <c r="H40" s="64" t="str">
        <f t="shared" si="0"/>
        <v/>
      </c>
      <c r="I40" s="65" t="str">
        <f t="shared" si="1"/>
        <v/>
      </c>
      <c r="J40" s="64"/>
    </row>
    <row r="41" spans="1:10">
      <c r="A41" s="63"/>
      <c r="B41" s="64"/>
      <c r="C41" s="64"/>
      <c r="D41" s="64"/>
      <c r="E41" s="65"/>
      <c r="F41" s="64"/>
      <c r="G41" s="64"/>
      <c r="H41" s="64" t="str">
        <f t="shared" si="0"/>
        <v/>
      </c>
      <c r="I41" s="65" t="str">
        <f t="shared" si="1"/>
        <v/>
      </c>
      <c r="J41" s="64"/>
    </row>
    <row r="42" spans="1:10">
      <c r="A42" s="63"/>
      <c r="B42" s="64"/>
      <c r="C42" s="64"/>
      <c r="D42" s="64"/>
      <c r="E42" s="65"/>
      <c r="F42" s="64"/>
      <c r="G42" s="64"/>
      <c r="H42" s="64" t="str">
        <f t="shared" si="0"/>
        <v/>
      </c>
      <c r="I42" s="65" t="str">
        <f t="shared" si="1"/>
        <v/>
      </c>
      <c r="J42" s="64"/>
    </row>
    <row r="43" spans="1:10">
      <c r="A43" s="63"/>
      <c r="B43" s="64"/>
      <c r="C43" s="64"/>
      <c r="D43" s="64"/>
      <c r="E43" s="65"/>
      <c r="F43" s="64"/>
      <c r="G43" s="64"/>
      <c r="H43" s="64" t="str">
        <f t="shared" si="0"/>
        <v/>
      </c>
      <c r="I43" s="65" t="str">
        <f t="shared" si="1"/>
        <v/>
      </c>
      <c r="J43" s="64"/>
    </row>
    <row r="44" spans="1:10">
      <c r="A44" s="63"/>
      <c r="B44" s="64"/>
      <c r="C44" s="64"/>
      <c r="D44" s="64"/>
      <c r="E44" s="65"/>
      <c r="F44" s="64"/>
      <c r="G44" s="64"/>
      <c r="H44" s="64" t="str">
        <f t="shared" si="0"/>
        <v/>
      </c>
      <c r="I44" s="65" t="str">
        <f t="shared" si="1"/>
        <v/>
      </c>
      <c r="J44" s="64"/>
    </row>
    <row r="45" spans="1:10">
      <c r="A45" s="63"/>
      <c r="B45" s="64"/>
      <c r="C45" s="64"/>
      <c r="D45" s="64"/>
      <c r="E45" s="65"/>
      <c r="F45" s="64"/>
      <c r="G45" s="64"/>
      <c r="H45" s="64" t="str">
        <f t="shared" si="0"/>
        <v/>
      </c>
      <c r="I45" s="65" t="str">
        <f t="shared" si="1"/>
        <v/>
      </c>
      <c r="J45" s="64"/>
    </row>
    <row r="46" spans="1:10">
      <c r="A46" s="63"/>
      <c r="B46" s="64"/>
      <c r="C46" s="64"/>
      <c r="D46" s="64"/>
      <c r="E46" s="65"/>
      <c r="F46" s="64"/>
      <c r="G46" s="64"/>
      <c r="H46" s="64" t="str">
        <f t="shared" si="0"/>
        <v/>
      </c>
      <c r="I46" s="65" t="str">
        <f t="shared" si="1"/>
        <v/>
      </c>
      <c r="J46" s="64"/>
    </row>
    <row r="47" spans="1:10">
      <c r="A47" s="63"/>
      <c r="B47" s="64"/>
      <c r="C47" s="64"/>
      <c r="D47" s="64"/>
      <c r="E47" s="65"/>
      <c r="F47" s="64"/>
      <c r="G47" s="64"/>
      <c r="H47" s="64" t="str">
        <f t="shared" si="0"/>
        <v/>
      </c>
      <c r="I47" s="65" t="str">
        <f t="shared" si="1"/>
        <v/>
      </c>
      <c r="J47" s="64"/>
    </row>
    <row r="48" spans="1:10">
      <c r="A48" s="63"/>
      <c r="B48" s="64"/>
      <c r="C48" s="64"/>
      <c r="D48" s="64"/>
      <c r="E48" s="65"/>
      <c r="F48" s="64"/>
      <c r="G48" s="64"/>
      <c r="H48" s="64" t="str">
        <f t="shared" si="0"/>
        <v/>
      </c>
      <c r="I48" s="65" t="str">
        <f t="shared" si="1"/>
        <v/>
      </c>
      <c r="J48" s="64"/>
    </row>
    <row r="49" spans="1:10">
      <c r="A49" s="63"/>
      <c r="B49" s="64"/>
      <c r="C49" s="64"/>
      <c r="D49" s="64"/>
      <c r="E49" s="65"/>
      <c r="F49" s="64"/>
      <c r="G49" s="64"/>
      <c r="H49" s="64" t="str">
        <f t="shared" si="0"/>
        <v/>
      </c>
      <c r="I49" s="65" t="str">
        <f t="shared" si="1"/>
        <v/>
      </c>
      <c r="J49" s="64"/>
    </row>
    <row r="50" spans="1:10">
      <c r="A50" s="63"/>
      <c r="B50" s="64"/>
      <c r="C50" s="64"/>
      <c r="D50" s="64"/>
      <c r="E50" s="65"/>
      <c r="F50" s="64"/>
      <c r="G50" s="64"/>
      <c r="H50" s="64" t="str">
        <f t="shared" si="0"/>
        <v/>
      </c>
      <c r="I50" s="65" t="str">
        <f t="shared" si="1"/>
        <v/>
      </c>
      <c r="J50" s="64"/>
    </row>
    <row r="51" spans="1:10">
      <c r="A51" s="63"/>
      <c r="B51" s="64"/>
      <c r="C51" s="64"/>
      <c r="D51" s="64"/>
      <c r="E51" s="65"/>
      <c r="F51" s="64"/>
      <c r="G51" s="64"/>
      <c r="H51" s="64" t="str">
        <f t="shared" si="0"/>
        <v/>
      </c>
      <c r="I51" s="65" t="str">
        <f t="shared" si="1"/>
        <v/>
      </c>
      <c r="J51" s="64"/>
    </row>
    <row r="52" spans="1:10">
      <c r="A52" s="63"/>
      <c r="B52" s="64"/>
      <c r="C52" s="64"/>
      <c r="D52" s="64"/>
      <c r="E52" s="65"/>
      <c r="F52" s="64"/>
      <c r="G52" s="64"/>
      <c r="H52" s="64" t="str">
        <f t="shared" si="0"/>
        <v/>
      </c>
      <c r="I52" s="65" t="str">
        <f t="shared" si="1"/>
        <v/>
      </c>
      <c r="J52" s="64"/>
    </row>
    <row r="53" spans="1:10">
      <c r="A53" s="63"/>
      <c r="B53" s="64"/>
      <c r="C53" s="64"/>
      <c r="D53" s="64"/>
      <c r="E53" s="65"/>
      <c r="F53" s="64"/>
      <c r="G53" s="64"/>
      <c r="H53" s="64" t="str">
        <f t="shared" si="0"/>
        <v/>
      </c>
      <c r="I53" s="65" t="str">
        <f t="shared" si="1"/>
        <v/>
      </c>
      <c r="J53" s="64"/>
    </row>
    <row r="54" spans="1:10">
      <c r="A54" s="63"/>
      <c r="B54" s="64"/>
      <c r="C54" s="64"/>
      <c r="D54" s="64"/>
      <c r="E54" s="65"/>
      <c r="F54" s="64"/>
      <c r="G54" s="64"/>
      <c r="H54" s="64" t="str">
        <f t="shared" si="0"/>
        <v/>
      </c>
      <c r="I54" s="65" t="str">
        <f t="shared" si="1"/>
        <v/>
      </c>
      <c r="J54" s="64"/>
    </row>
    <row r="55" spans="1:10">
      <c r="A55" s="63"/>
      <c r="B55" s="64"/>
      <c r="C55" s="64"/>
      <c r="D55" s="64"/>
      <c r="E55" s="65"/>
      <c r="F55" s="64"/>
      <c r="G55" s="64"/>
      <c r="H55" s="64" t="str">
        <f t="shared" si="0"/>
        <v/>
      </c>
      <c r="I55" s="65" t="str">
        <f t="shared" si="1"/>
        <v/>
      </c>
      <c r="J55" s="64"/>
    </row>
    <row r="56" spans="1:10">
      <c r="A56" s="63"/>
      <c r="B56" s="64"/>
      <c r="C56" s="64"/>
      <c r="D56" s="64"/>
      <c r="E56" s="65"/>
      <c r="F56" s="64"/>
      <c r="G56" s="64"/>
      <c r="H56" s="64" t="str">
        <f t="shared" si="0"/>
        <v/>
      </c>
      <c r="I56" s="65" t="str">
        <f t="shared" si="1"/>
        <v/>
      </c>
      <c r="J56" s="64"/>
    </row>
    <row r="57" spans="1:10">
      <c r="A57" s="63"/>
      <c r="B57" s="64"/>
      <c r="C57" s="64"/>
      <c r="D57" s="64"/>
      <c r="E57" s="65"/>
      <c r="F57" s="64"/>
      <c r="G57" s="64"/>
      <c r="H57" s="64" t="str">
        <f t="shared" si="0"/>
        <v/>
      </c>
      <c r="I57" s="65" t="str">
        <f t="shared" si="1"/>
        <v/>
      </c>
      <c r="J57" s="64"/>
    </row>
    <row r="58" spans="1:10">
      <c r="A58" s="63"/>
      <c r="B58" s="64"/>
      <c r="C58" s="64"/>
      <c r="D58" s="64"/>
      <c r="E58" s="65"/>
      <c r="F58" s="64"/>
      <c r="G58" s="64"/>
      <c r="H58" s="64" t="str">
        <f t="shared" si="0"/>
        <v/>
      </c>
      <c r="I58" s="65" t="str">
        <f t="shared" si="1"/>
        <v/>
      </c>
      <c r="J58" s="64"/>
    </row>
    <row r="59" spans="1:10">
      <c r="A59" s="63"/>
      <c r="B59" s="64"/>
      <c r="C59" s="64"/>
      <c r="D59" s="64"/>
      <c r="E59" s="65"/>
      <c r="F59" s="64"/>
      <c r="G59" s="64"/>
      <c r="H59" s="64" t="str">
        <f t="shared" si="0"/>
        <v/>
      </c>
      <c r="I59" s="65" t="str">
        <f t="shared" si="1"/>
        <v/>
      </c>
      <c r="J59" s="64"/>
    </row>
    <row r="60" spans="1:10">
      <c r="A60" s="63"/>
      <c r="B60" s="64"/>
      <c r="C60" s="64"/>
      <c r="D60" s="64"/>
      <c r="E60" s="65"/>
      <c r="F60" s="64"/>
      <c r="G60" s="64"/>
      <c r="H60" s="64" t="str">
        <f t="shared" si="0"/>
        <v/>
      </c>
      <c r="I60" s="65" t="str">
        <f t="shared" si="1"/>
        <v/>
      </c>
      <c r="J60" s="64"/>
    </row>
    <row r="61" spans="1:10">
      <c r="A61" s="63"/>
      <c r="B61" s="64"/>
      <c r="C61" s="64"/>
      <c r="D61" s="64"/>
      <c r="E61" s="65"/>
      <c r="F61" s="64"/>
      <c r="G61" s="64"/>
      <c r="H61" s="64" t="str">
        <f t="shared" si="0"/>
        <v/>
      </c>
      <c r="I61" s="65" t="str">
        <f t="shared" si="1"/>
        <v/>
      </c>
      <c r="J61" s="64"/>
    </row>
    <row r="62" spans="1:10">
      <c r="A62" s="63"/>
      <c r="B62" s="64"/>
      <c r="C62" s="64"/>
      <c r="D62" s="64"/>
      <c r="E62" s="65"/>
      <c r="F62" s="64"/>
      <c r="G62" s="64"/>
      <c r="H62" s="64" t="str">
        <f t="shared" si="0"/>
        <v/>
      </c>
      <c r="I62" s="65" t="str">
        <f t="shared" si="1"/>
        <v/>
      </c>
      <c r="J62" s="64"/>
    </row>
    <row r="63" spans="1:10">
      <c r="A63" s="63"/>
      <c r="B63" s="64"/>
      <c r="C63" s="64"/>
      <c r="D63" s="64"/>
      <c r="E63" s="65"/>
      <c r="F63" s="64"/>
      <c r="G63" s="64"/>
      <c r="H63" s="64" t="str">
        <f t="shared" si="0"/>
        <v/>
      </c>
      <c r="I63" s="65" t="str">
        <f t="shared" si="1"/>
        <v/>
      </c>
      <c r="J63" s="64"/>
    </row>
    <row r="64" spans="1:10">
      <c r="A64" s="63"/>
      <c r="B64" s="64"/>
      <c r="C64" s="64"/>
      <c r="D64" s="64"/>
      <c r="E64" s="65"/>
      <c r="F64" s="64"/>
      <c r="G64" s="64"/>
      <c r="H64" s="64" t="str">
        <f t="shared" si="0"/>
        <v/>
      </c>
      <c r="I64" s="65" t="str">
        <f t="shared" si="1"/>
        <v/>
      </c>
      <c r="J64" s="64"/>
    </row>
    <row r="65" spans="1:10">
      <c r="A65" s="63"/>
      <c r="B65" s="64"/>
      <c r="C65" s="64"/>
      <c r="D65" s="64"/>
      <c r="E65" s="65"/>
      <c r="F65" s="64"/>
      <c r="G65" s="64"/>
      <c r="H65" s="64" t="str">
        <f t="shared" si="0"/>
        <v/>
      </c>
      <c r="I65" s="65" t="str">
        <f t="shared" si="1"/>
        <v/>
      </c>
      <c r="J65" s="64"/>
    </row>
    <row r="66" spans="1:10">
      <c r="A66" s="63"/>
      <c r="B66" s="64"/>
      <c r="C66" s="64"/>
      <c r="D66" s="64"/>
      <c r="E66" s="65"/>
      <c r="F66" s="64"/>
      <c r="G66" s="64"/>
      <c r="H66" s="64" t="str">
        <f t="shared" si="0"/>
        <v/>
      </c>
      <c r="I66" s="65" t="str">
        <f t="shared" si="1"/>
        <v/>
      </c>
      <c r="J66" s="64"/>
    </row>
    <row r="67" spans="1:10">
      <c r="A67" s="63"/>
      <c r="B67" s="64"/>
      <c r="C67" s="64"/>
      <c r="D67" s="64"/>
      <c r="E67" s="65"/>
      <c r="F67" s="64"/>
      <c r="G67" s="64"/>
      <c r="H67" s="64" t="str">
        <f t="shared" si="0"/>
        <v/>
      </c>
      <c r="I67" s="65" t="str">
        <f t="shared" si="1"/>
        <v/>
      </c>
      <c r="J67" s="64"/>
    </row>
    <row r="68" spans="1:10">
      <c r="A68" s="63"/>
      <c r="B68" s="64"/>
      <c r="C68" s="64"/>
      <c r="D68" s="64"/>
      <c r="E68" s="65"/>
      <c r="F68" s="64"/>
      <c r="G68" s="64"/>
      <c r="H68" s="64" t="str">
        <f t="shared" si="0"/>
        <v/>
      </c>
      <c r="I68" s="65" t="str">
        <f t="shared" si="1"/>
        <v/>
      </c>
      <c r="J68" s="64"/>
    </row>
    <row r="69" spans="1:10">
      <c r="A69" s="63"/>
      <c r="B69" s="64"/>
      <c r="C69" s="64"/>
      <c r="D69" s="64"/>
      <c r="E69" s="65"/>
      <c r="F69" s="64"/>
      <c r="G69" s="64"/>
      <c r="H69" s="64" t="str">
        <f t="shared" si="0"/>
        <v/>
      </c>
      <c r="I69" s="65" t="str">
        <f t="shared" si="1"/>
        <v/>
      </c>
      <c r="J69" s="64"/>
    </row>
    <row r="70" spans="1:10">
      <c r="A70" s="63"/>
      <c r="B70" s="64"/>
      <c r="C70" s="64"/>
      <c r="D70" s="64"/>
      <c r="E70" s="65"/>
      <c r="F70" s="64"/>
      <c r="G70" s="64"/>
      <c r="H70" s="64" t="str">
        <f t="shared" si="0"/>
        <v/>
      </c>
      <c r="I70" s="65" t="str">
        <f t="shared" si="1"/>
        <v/>
      </c>
      <c r="J70" s="64"/>
    </row>
    <row r="71" spans="1:10">
      <c r="A71" s="63"/>
      <c r="B71" s="64"/>
      <c r="C71" s="64"/>
      <c r="D71" s="64"/>
      <c r="E71" s="65"/>
      <c r="F71" s="64"/>
      <c r="G71" s="64"/>
      <c r="H71" s="64" t="str">
        <f t="shared" si="0"/>
        <v/>
      </c>
      <c r="I71" s="65" t="str">
        <f t="shared" si="1"/>
        <v/>
      </c>
      <c r="J71" s="64"/>
    </row>
    <row r="72" spans="1:10">
      <c r="A72" s="63"/>
      <c r="B72" s="64"/>
      <c r="C72" s="64"/>
      <c r="D72" s="64"/>
      <c r="E72" s="65"/>
      <c r="F72" s="64"/>
      <c r="G72" s="64"/>
      <c r="H72" s="64" t="str">
        <f t="shared" si="0"/>
        <v/>
      </c>
      <c r="I72" s="65" t="str">
        <f t="shared" si="1"/>
        <v/>
      </c>
      <c r="J72" s="64"/>
    </row>
    <row r="73" spans="1:10">
      <c r="A73" s="63"/>
      <c r="B73" s="64"/>
      <c r="C73" s="64"/>
      <c r="D73" s="64"/>
      <c r="E73" s="65"/>
      <c r="F73" s="64"/>
      <c r="G73" s="64"/>
      <c r="H73" s="64" t="str">
        <f t="shared" si="0"/>
        <v/>
      </c>
      <c r="I73" s="65" t="str">
        <f t="shared" si="1"/>
        <v/>
      </c>
      <c r="J73" s="64"/>
    </row>
    <row r="74" spans="1:10">
      <c r="A74" s="63"/>
      <c r="B74" s="64"/>
      <c r="C74" s="64"/>
      <c r="D74" s="64"/>
      <c r="E74" s="65"/>
      <c r="F74" s="64"/>
      <c r="G74" s="64"/>
      <c r="H74" s="64" t="str">
        <f t="shared" si="0"/>
        <v/>
      </c>
      <c r="I74" s="65" t="str">
        <f t="shared" si="1"/>
        <v/>
      </c>
      <c r="J74" s="64"/>
    </row>
    <row r="75" spans="1:10">
      <c r="A75" s="63"/>
      <c r="B75" s="64"/>
      <c r="C75" s="64"/>
      <c r="D75" s="64"/>
      <c r="E75" s="65"/>
      <c r="F75" s="64"/>
      <c r="G75" s="64"/>
      <c r="H75" s="64" t="str">
        <f t="shared" ref="H75:H138" si="2">IF(A75="","",TEXT(A75,"mmm-yyyy"))</f>
        <v/>
      </c>
      <c r="I75" s="65" t="str">
        <f t="shared" ref="I75:I138" si="3">IF(OR(B75="",E75=""),"",IF(B75="Ingreso",E75,-E75))</f>
        <v/>
      </c>
      <c r="J75" s="64"/>
    </row>
    <row r="76" spans="1:10">
      <c r="A76" s="63"/>
      <c r="B76" s="64"/>
      <c r="C76" s="64"/>
      <c r="D76" s="64"/>
      <c r="E76" s="65"/>
      <c r="F76" s="64"/>
      <c r="G76" s="64"/>
      <c r="H76" s="64" t="str">
        <f t="shared" si="2"/>
        <v/>
      </c>
      <c r="I76" s="65" t="str">
        <f t="shared" si="3"/>
        <v/>
      </c>
      <c r="J76" s="64"/>
    </row>
    <row r="77" spans="1:10">
      <c r="A77" s="63"/>
      <c r="B77" s="64"/>
      <c r="C77" s="64"/>
      <c r="D77" s="64"/>
      <c r="E77" s="65"/>
      <c r="F77" s="64"/>
      <c r="G77" s="64"/>
      <c r="H77" s="64" t="str">
        <f t="shared" si="2"/>
        <v/>
      </c>
      <c r="I77" s="65" t="str">
        <f t="shared" si="3"/>
        <v/>
      </c>
      <c r="J77" s="64"/>
    </row>
    <row r="78" spans="1:10">
      <c r="A78" s="63"/>
      <c r="B78" s="64"/>
      <c r="C78" s="64"/>
      <c r="D78" s="64"/>
      <c r="E78" s="65"/>
      <c r="F78" s="64"/>
      <c r="G78" s="64"/>
      <c r="H78" s="64" t="str">
        <f t="shared" si="2"/>
        <v/>
      </c>
      <c r="I78" s="65" t="str">
        <f t="shared" si="3"/>
        <v/>
      </c>
      <c r="J78" s="64"/>
    </row>
    <row r="79" spans="1:10">
      <c r="A79" s="63"/>
      <c r="B79" s="64"/>
      <c r="C79" s="64"/>
      <c r="D79" s="64"/>
      <c r="E79" s="65"/>
      <c r="F79" s="64"/>
      <c r="G79" s="64"/>
      <c r="H79" s="64" t="str">
        <f t="shared" si="2"/>
        <v/>
      </c>
      <c r="I79" s="65" t="str">
        <f t="shared" si="3"/>
        <v/>
      </c>
      <c r="J79" s="64"/>
    </row>
    <row r="80" spans="1:10">
      <c r="A80" s="63"/>
      <c r="B80" s="64"/>
      <c r="C80" s="64"/>
      <c r="D80" s="64"/>
      <c r="E80" s="65"/>
      <c r="F80" s="64"/>
      <c r="G80" s="64"/>
      <c r="H80" s="64" t="str">
        <f t="shared" si="2"/>
        <v/>
      </c>
      <c r="I80" s="65" t="str">
        <f t="shared" si="3"/>
        <v/>
      </c>
      <c r="J80" s="64"/>
    </row>
    <row r="81" spans="1:10">
      <c r="A81" s="63"/>
      <c r="B81" s="64"/>
      <c r="C81" s="64"/>
      <c r="D81" s="64"/>
      <c r="E81" s="65"/>
      <c r="F81" s="64"/>
      <c r="G81" s="64"/>
      <c r="H81" s="64" t="str">
        <f t="shared" si="2"/>
        <v/>
      </c>
      <c r="I81" s="65" t="str">
        <f t="shared" si="3"/>
        <v/>
      </c>
      <c r="J81" s="64"/>
    </row>
    <row r="82" spans="1:10">
      <c r="A82" s="63"/>
      <c r="B82" s="64"/>
      <c r="C82" s="64"/>
      <c r="D82" s="64"/>
      <c r="E82" s="65"/>
      <c r="F82" s="64"/>
      <c r="G82" s="64"/>
      <c r="H82" s="64" t="str">
        <f t="shared" si="2"/>
        <v/>
      </c>
      <c r="I82" s="65" t="str">
        <f t="shared" si="3"/>
        <v/>
      </c>
      <c r="J82" s="64"/>
    </row>
    <row r="83" spans="1:10">
      <c r="A83" s="63"/>
      <c r="B83" s="64"/>
      <c r="C83" s="64"/>
      <c r="D83" s="64"/>
      <c r="E83" s="65"/>
      <c r="F83" s="64"/>
      <c r="G83" s="64"/>
      <c r="H83" s="64" t="str">
        <f t="shared" si="2"/>
        <v/>
      </c>
      <c r="I83" s="65" t="str">
        <f t="shared" si="3"/>
        <v/>
      </c>
      <c r="J83" s="64"/>
    </row>
    <row r="84" spans="1:10">
      <c r="A84" s="63"/>
      <c r="B84" s="64"/>
      <c r="C84" s="64"/>
      <c r="D84" s="64"/>
      <c r="E84" s="65"/>
      <c r="F84" s="64"/>
      <c r="G84" s="64"/>
      <c r="H84" s="64" t="str">
        <f t="shared" si="2"/>
        <v/>
      </c>
      <c r="I84" s="65" t="str">
        <f t="shared" si="3"/>
        <v/>
      </c>
      <c r="J84" s="64"/>
    </row>
    <row r="85" spans="1:10">
      <c r="A85" s="63"/>
      <c r="B85" s="64"/>
      <c r="C85" s="64"/>
      <c r="D85" s="64"/>
      <c r="E85" s="65"/>
      <c r="F85" s="64"/>
      <c r="G85" s="64"/>
      <c r="H85" s="64" t="str">
        <f t="shared" si="2"/>
        <v/>
      </c>
      <c r="I85" s="65" t="str">
        <f t="shared" si="3"/>
        <v/>
      </c>
      <c r="J85" s="64"/>
    </row>
    <row r="86" spans="1:10">
      <c r="A86" s="63"/>
      <c r="B86" s="64"/>
      <c r="C86" s="64"/>
      <c r="D86" s="64"/>
      <c r="E86" s="65"/>
      <c r="F86" s="64"/>
      <c r="G86" s="64"/>
      <c r="H86" s="64" t="str">
        <f t="shared" si="2"/>
        <v/>
      </c>
      <c r="I86" s="65" t="str">
        <f t="shared" si="3"/>
        <v/>
      </c>
      <c r="J86" s="64"/>
    </row>
    <row r="87" spans="1:10">
      <c r="A87" s="63"/>
      <c r="B87" s="64"/>
      <c r="C87" s="64"/>
      <c r="D87" s="64"/>
      <c r="E87" s="65"/>
      <c r="F87" s="64"/>
      <c r="G87" s="64"/>
      <c r="H87" s="64" t="str">
        <f t="shared" si="2"/>
        <v/>
      </c>
      <c r="I87" s="65" t="str">
        <f t="shared" si="3"/>
        <v/>
      </c>
      <c r="J87" s="64"/>
    </row>
    <row r="88" spans="1:10">
      <c r="A88" s="63"/>
      <c r="B88" s="64"/>
      <c r="C88" s="64"/>
      <c r="D88" s="64"/>
      <c r="E88" s="65"/>
      <c r="F88" s="64"/>
      <c r="G88" s="64"/>
      <c r="H88" s="64" t="str">
        <f t="shared" si="2"/>
        <v/>
      </c>
      <c r="I88" s="65" t="str">
        <f t="shared" si="3"/>
        <v/>
      </c>
      <c r="J88" s="64"/>
    </row>
    <row r="89" spans="1:10">
      <c r="A89" s="63"/>
      <c r="B89" s="64"/>
      <c r="C89" s="64"/>
      <c r="D89" s="64"/>
      <c r="E89" s="65"/>
      <c r="F89" s="64"/>
      <c r="G89" s="64"/>
      <c r="H89" s="64" t="str">
        <f t="shared" si="2"/>
        <v/>
      </c>
      <c r="I89" s="65" t="str">
        <f t="shared" si="3"/>
        <v/>
      </c>
      <c r="J89" s="64"/>
    </row>
    <row r="90" spans="1:10">
      <c r="A90" s="63"/>
      <c r="B90" s="64"/>
      <c r="C90" s="64"/>
      <c r="D90" s="64"/>
      <c r="E90" s="65"/>
      <c r="F90" s="64"/>
      <c r="G90" s="64"/>
      <c r="H90" s="64" t="str">
        <f t="shared" si="2"/>
        <v/>
      </c>
      <c r="I90" s="65" t="str">
        <f t="shared" si="3"/>
        <v/>
      </c>
      <c r="J90" s="64"/>
    </row>
    <row r="91" spans="1:10">
      <c r="A91" s="63"/>
      <c r="B91" s="64"/>
      <c r="C91" s="64"/>
      <c r="D91" s="64"/>
      <c r="E91" s="65"/>
      <c r="F91" s="64"/>
      <c r="G91" s="64"/>
      <c r="H91" s="64" t="str">
        <f t="shared" si="2"/>
        <v/>
      </c>
      <c r="I91" s="65" t="str">
        <f t="shared" si="3"/>
        <v/>
      </c>
      <c r="J91" s="64"/>
    </row>
    <row r="92" spans="1:10">
      <c r="A92" s="63"/>
      <c r="B92" s="64"/>
      <c r="C92" s="64"/>
      <c r="D92" s="64"/>
      <c r="E92" s="65"/>
      <c r="F92" s="64"/>
      <c r="G92" s="64"/>
      <c r="H92" s="64" t="str">
        <f t="shared" si="2"/>
        <v/>
      </c>
      <c r="I92" s="65" t="str">
        <f t="shared" si="3"/>
        <v/>
      </c>
      <c r="J92" s="64"/>
    </row>
    <row r="93" spans="1:10">
      <c r="A93" s="63"/>
      <c r="B93" s="64"/>
      <c r="C93" s="64"/>
      <c r="D93" s="64"/>
      <c r="E93" s="65"/>
      <c r="F93" s="64"/>
      <c r="G93" s="64"/>
      <c r="H93" s="64" t="str">
        <f t="shared" si="2"/>
        <v/>
      </c>
      <c r="I93" s="65" t="str">
        <f t="shared" si="3"/>
        <v/>
      </c>
      <c r="J93" s="64"/>
    </row>
    <row r="94" spans="1:10">
      <c r="A94" s="63"/>
      <c r="B94" s="64"/>
      <c r="C94" s="64"/>
      <c r="D94" s="64"/>
      <c r="E94" s="65"/>
      <c r="F94" s="64"/>
      <c r="G94" s="64"/>
      <c r="H94" s="64" t="str">
        <f t="shared" si="2"/>
        <v/>
      </c>
      <c r="I94" s="65" t="str">
        <f t="shared" si="3"/>
        <v/>
      </c>
      <c r="J94" s="64"/>
    </row>
    <row r="95" spans="1:10">
      <c r="A95" s="63"/>
      <c r="B95" s="64"/>
      <c r="C95" s="64"/>
      <c r="D95" s="64"/>
      <c r="E95" s="65"/>
      <c r="F95" s="64"/>
      <c r="G95" s="64"/>
      <c r="H95" s="64" t="str">
        <f t="shared" si="2"/>
        <v/>
      </c>
      <c r="I95" s="65" t="str">
        <f t="shared" si="3"/>
        <v/>
      </c>
      <c r="J95" s="64"/>
    </row>
    <row r="96" spans="1:10">
      <c r="A96" s="63"/>
      <c r="B96" s="64"/>
      <c r="C96" s="64"/>
      <c r="D96" s="64"/>
      <c r="E96" s="65"/>
      <c r="F96" s="64"/>
      <c r="G96" s="64"/>
      <c r="H96" s="64" t="str">
        <f t="shared" si="2"/>
        <v/>
      </c>
      <c r="I96" s="65" t="str">
        <f t="shared" si="3"/>
        <v/>
      </c>
      <c r="J96" s="64"/>
    </row>
    <row r="97" spans="1:10">
      <c r="A97" s="63"/>
      <c r="B97" s="64"/>
      <c r="C97" s="64"/>
      <c r="D97" s="64"/>
      <c r="E97" s="65"/>
      <c r="F97" s="64"/>
      <c r="G97" s="64"/>
      <c r="H97" s="64" t="str">
        <f t="shared" si="2"/>
        <v/>
      </c>
      <c r="I97" s="65" t="str">
        <f t="shared" si="3"/>
        <v/>
      </c>
      <c r="J97" s="64"/>
    </row>
    <row r="98" spans="1:10">
      <c r="A98" s="63"/>
      <c r="B98" s="64"/>
      <c r="C98" s="64"/>
      <c r="D98" s="64"/>
      <c r="E98" s="65"/>
      <c r="F98" s="64"/>
      <c r="G98" s="64"/>
      <c r="H98" s="64" t="str">
        <f t="shared" si="2"/>
        <v/>
      </c>
      <c r="I98" s="65" t="str">
        <f t="shared" si="3"/>
        <v/>
      </c>
      <c r="J98" s="64"/>
    </row>
    <row r="99" spans="1:10">
      <c r="A99" s="63"/>
      <c r="B99" s="64"/>
      <c r="C99" s="64"/>
      <c r="D99" s="64"/>
      <c r="E99" s="65"/>
      <c r="F99" s="64"/>
      <c r="G99" s="64"/>
      <c r="H99" s="64" t="str">
        <f t="shared" si="2"/>
        <v/>
      </c>
      <c r="I99" s="65" t="str">
        <f t="shared" si="3"/>
        <v/>
      </c>
      <c r="J99" s="64"/>
    </row>
    <row r="100" spans="1:10">
      <c r="A100" s="63"/>
      <c r="B100" s="64"/>
      <c r="C100" s="64"/>
      <c r="D100" s="64"/>
      <c r="E100" s="65"/>
      <c r="F100" s="64"/>
      <c r="G100" s="64"/>
      <c r="H100" s="64" t="str">
        <f t="shared" si="2"/>
        <v/>
      </c>
      <c r="I100" s="65" t="str">
        <f t="shared" si="3"/>
        <v/>
      </c>
      <c r="J100" s="64"/>
    </row>
    <row r="101" spans="1:10">
      <c r="A101" s="63"/>
      <c r="B101" s="64"/>
      <c r="C101" s="64"/>
      <c r="D101" s="64"/>
      <c r="E101" s="65"/>
      <c r="F101" s="64"/>
      <c r="G101" s="64"/>
      <c r="H101" s="64" t="str">
        <f t="shared" si="2"/>
        <v/>
      </c>
      <c r="I101" s="65" t="str">
        <f t="shared" si="3"/>
        <v/>
      </c>
      <c r="J101" s="64"/>
    </row>
    <row r="102" spans="1:10">
      <c r="A102" s="63"/>
      <c r="B102" s="64"/>
      <c r="C102" s="64"/>
      <c r="D102" s="64"/>
      <c r="E102" s="65"/>
      <c r="F102" s="64"/>
      <c r="G102" s="64"/>
      <c r="H102" s="64" t="str">
        <f t="shared" si="2"/>
        <v/>
      </c>
      <c r="I102" s="65" t="str">
        <f t="shared" si="3"/>
        <v/>
      </c>
      <c r="J102" s="64"/>
    </row>
    <row r="103" spans="1:10">
      <c r="A103" s="63"/>
      <c r="B103" s="64"/>
      <c r="C103" s="64"/>
      <c r="D103" s="64"/>
      <c r="E103" s="65"/>
      <c r="F103" s="64"/>
      <c r="G103" s="64"/>
      <c r="H103" s="64" t="str">
        <f t="shared" si="2"/>
        <v/>
      </c>
      <c r="I103" s="65" t="str">
        <f t="shared" si="3"/>
        <v/>
      </c>
      <c r="J103" s="64"/>
    </row>
    <row r="104" spans="1:10">
      <c r="A104" s="63"/>
      <c r="B104" s="64"/>
      <c r="C104" s="64"/>
      <c r="D104" s="64"/>
      <c r="E104" s="65"/>
      <c r="F104" s="64"/>
      <c r="G104" s="64"/>
      <c r="H104" s="64" t="str">
        <f t="shared" si="2"/>
        <v/>
      </c>
      <c r="I104" s="65" t="str">
        <f t="shared" si="3"/>
        <v/>
      </c>
      <c r="J104" s="64"/>
    </row>
    <row r="105" spans="1:10">
      <c r="A105" s="63"/>
      <c r="B105" s="64"/>
      <c r="C105" s="64"/>
      <c r="D105" s="64"/>
      <c r="E105" s="65"/>
      <c r="F105" s="64"/>
      <c r="G105" s="64"/>
      <c r="H105" s="64" t="str">
        <f t="shared" si="2"/>
        <v/>
      </c>
      <c r="I105" s="65" t="str">
        <f t="shared" si="3"/>
        <v/>
      </c>
      <c r="J105" s="64"/>
    </row>
    <row r="106" spans="1:10">
      <c r="A106" s="63"/>
      <c r="B106" s="64"/>
      <c r="C106" s="64"/>
      <c r="D106" s="64"/>
      <c r="E106" s="65"/>
      <c r="F106" s="64"/>
      <c r="G106" s="64"/>
      <c r="H106" s="64" t="str">
        <f t="shared" si="2"/>
        <v/>
      </c>
      <c r="I106" s="65" t="str">
        <f t="shared" si="3"/>
        <v/>
      </c>
      <c r="J106" s="64"/>
    </row>
    <row r="107" spans="1:10">
      <c r="A107" s="63"/>
      <c r="B107" s="64"/>
      <c r="C107" s="64"/>
      <c r="D107" s="64"/>
      <c r="E107" s="65"/>
      <c r="F107" s="64"/>
      <c r="G107" s="64"/>
      <c r="H107" s="64" t="str">
        <f t="shared" si="2"/>
        <v/>
      </c>
      <c r="I107" s="65" t="str">
        <f t="shared" si="3"/>
        <v/>
      </c>
      <c r="J107" s="64"/>
    </row>
    <row r="108" spans="1:10">
      <c r="A108" s="63"/>
      <c r="B108" s="64"/>
      <c r="C108" s="64"/>
      <c r="D108" s="64"/>
      <c r="E108" s="65"/>
      <c r="F108" s="64"/>
      <c r="G108" s="64"/>
      <c r="H108" s="64" t="str">
        <f t="shared" si="2"/>
        <v/>
      </c>
      <c r="I108" s="65" t="str">
        <f t="shared" si="3"/>
        <v/>
      </c>
      <c r="J108" s="64"/>
    </row>
    <row r="109" spans="1:10">
      <c r="A109" s="63"/>
      <c r="B109" s="64"/>
      <c r="C109" s="64"/>
      <c r="D109" s="64"/>
      <c r="E109" s="65"/>
      <c r="F109" s="64"/>
      <c r="G109" s="64"/>
      <c r="H109" s="64" t="str">
        <f t="shared" si="2"/>
        <v/>
      </c>
      <c r="I109" s="65" t="str">
        <f t="shared" si="3"/>
        <v/>
      </c>
      <c r="J109" s="64"/>
    </row>
    <row r="110" spans="1:10">
      <c r="A110" s="63"/>
      <c r="B110" s="64"/>
      <c r="C110" s="64"/>
      <c r="D110" s="64"/>
      <c r="E110" s="65"/>
      <c r="F110" s="64"/>
      <c r="G110" s="64"/>
      <c r="H110" s="64" t="str">
        <f t="shared" si="2"/>
        <v/>
      </c>
      <c r="I110" s="65" t="str">
        <f t="shared" si="3"/>
        <v/>
      </c>
      <c r="J110" s="64"/>
    </row>
    <row r="111" spans="1:10">
      <c r="A111" s="63"/>
      <c r="B111" s="64"/>
      <c r="C111" s="64"/>
      <c r="D111" s="64"/>
      <c r="E111" s="65"/>
      <c r="F111" s="64"/>
      <c r="G111" s="64"/>
      <c r="H111" s="64" t="str">
        <f t="shared" si="2"/>
        <v/>
      </c>
      <c r="I111" s="65" t="str">
        <f t="shared" si="3"/>
        <v/>
      </c>
      <c r="J111" s="64"/>
    </row>
    <row r="112" spans="1:10">
      <c r="A112" s="63"/>
      <c r="B112" s="64"/>
      <c r="C112" s="64"/>
      <c r="D112" s="64"/>
      <c r="E112" s="65"/>
      <c r="F112" s="64"/>
      <c r="G112" s="64"/>
      <c r="H112" s="64" t="str">
        <f t="shared" si="2"/>
        <v/>
      </c>
      <c r="I112" s="65" t="str">
        <f t="shared" si="3"/>
        <v/>
      </c>
      <c r="J112" s="64"/>
    </row>
    <row r="113" spans="1:10">
      <c r="A113" s="63"/>
      <c r="B113" s="64"/>
      <c r="C113" s="64"/>
      <c r="D113" s="64"/>
      <c r="E113" s="65"/>
      <c r="F113" s="64"/>
      <c r="G113" s="64"/>
      <c r="H113" s="64" t="str">
        <f t="shared" si="2"/>
        <v/>
      </c>
      <c r="I113" s="65" t="str">
        <f t="shared" si="3"/>
        <v/>
      </c>
      <c r="J113" s="64"/>
    </row>
    <row r="114" spans="1:10">
      <c r="A114" s="63"/>
      <c r="B114" s="64"/>
      <c r="C114" s="64"/>
      <c r="D114" s="64"/>
      <c r="E114" s="65"/>
      <c r="F114" s="64"/>
      <c r="G114" s="64"/>
      <c r="H114" s="64" t="str">
        <f t="shared" si="2"/>
        <v/>
      </c>
      <c r="I114" s="65" t="str">
        <f t="shared" si="3"/>
        <v/>
      </c>
      <c r="J114" s="64"/>
    </row>
    <row r="115" spans="1:10">
      <c r="A115" s="63"/>
      <c r="B115" s="64"/>
      <c r="C115" s="64"/>
      <c r="D115" s="64"/>
      <c r="E115" s="65"/>
      <c r="F115" s="64"/>
      <c r="G115" s="64"/>
      <c r="H115" s="64" t="str">
        <f t="shared" si="2"/>
        <v/>
      </c>
      <c r="I115" s="65" t="str">
        <f t="shared" si="3"/>
        <v/>
      </c>
      <c r="J115" s="64"/>
    </row>
    <row r="116" spans="1:10">
      <c r="A116" s="63"/>
      <c r="B116" s="64"/>
      <c r="C116" s="64"/>
      <c r="D116" s="64"/>
      <c r="E116" s="65"/>
      <c r="F116" s="64"/>
      <c r="G116" s="64"/>
      <c r="H116" s="64" t="str">
        <f t="shared" si="2"/>
        <v/>
      </c>
      <c r="I116" s="65" t="str">
        <f t="shared" si="3"/>
        <v/>
      </c>
      <c r="J116" s="64"/>
    </row>
    <row r="117" spans="1:10">
      <c r="A117" s="63"/>
      <c r="B117" s="64"/>
      <c r="C117" s="64"/>
      <c r="D117" s="64"/>
      <c r="E117" s="65"/>
      <c r="F117" s="64"/>
      <c r="G117" s="64"/>
      <c r="H117" s="64" t="str">
        <f t="shared" si="2"/>
        <v/>
      </c>
      <c r="I117" s="65" t="str">
        <f t="shared" si="3"/>
        <v/>
      </c>
      <c r="J117" s="64"/>
    </row>
    <row r="118" spans="1:10">
      <c r="A118" s="63"/>
      <c r="B118" s="64"/>
      <c r="C118" s="64"/>
      <c r="D118" s="64"/>
      <c r="E118" s="65"/>
      <c r="F118" s="64"/>
      <c r="G118" s="64"/>
      <c r="H118" s="64" t="str">
        <f t="shared" si="2"/>
        <v/>
      </c>
      <c r="I118" s="65" t="str">
        <f t="shared" si="3"/>
        <v/>
      </c>
      <c r="J118" s="64"/>
    </row>
    <row r="119" spans="1:10">
      <c r="A119" s="63"/>
      <c r="B119" s="64"/>
      <c r="C119" s="64"/>
      <c r="D119" s="64"/>
      <c r="E119" s="65"/>
      <c r="F119" s="64"/>
      <c r="G119" s="64"/>
      <c r="H119" s="64" t="str">
        <f t="shared" si="2"/>
        <v/>
      </c>
      <c r="I119" s="65" t="str">
        <f t="shared" si="3"/>
        <v/>
      </c>
      <c r="J119" s="64"/>
    </row>
    <row r="120" spans="1:10">
      <c r="A120" s="63"/>
      <c r="B120" s="64"/>
      <c r="C120" s="64"/>
      <c r="D120" s="64"/>
      <c r="E120" s="65"/>
      <c r="F120" s="64"/>
      <c r="G120" s="64"/>
      <c r="H120" s="64" t="str">
        <f t="shared" si="2"/>
        <v/>
      </c>
      <c r="I120" s="65" t="str">
        <f t="shared" si="3"/>
        <v/>
      </c>
      <c r="J120" s="64"/>
    </row>
    <row r="121" spans="1:10">
      <c r="A121" s="63"/>
      <c r="B121" s="64"/>
      <c r="C121" s="64"/>
      <c r="D121" s="64"/>
      <c r="E121" s="65"/>
      <c r="F121" s="64"/>
      <c r="G121" s="64"/>
      <c r="H121" s="64" t="str">
        <f t="shared" si="2"/>
        <v/>
      </c>
      <c r="I121" s="65" t="str">
        <f t="shared" si="3"/>
        <v/>
      </c>
      <c r="J121" s="64"/>
    </row>
    <row r="122" spans="1:10">
      <c r="A122" s="63"/>
      <c r="B122" s="64"/>
      <c r="C122" s="64"/>
      <c r="D122" s="64"/>
      <c r="E122" s="65"/>
      <c r="F122" s="64"/>
      <c r="G122" s="64"/>
      <c r="H122" s="64" t="str">
        <f t="shared" si="2"/>
        <v/>
      </c>
      <c r="I122" s="65" t="str">
        <f t="shared" si="3"/>
        <v/>
      </c>
      <c r="J122" s="64"/>
    </row>
    <row r="123" spans="1:10">
      <c r="A123" s="63"/>
      <c r="B123" s="64"/>
      <c r="C123" s="64"/>
      <c r="D123" s="64"/>
      <c r="E123" s="65"/>
      <c r="F123" s="64"/>
      <c r="G123" s="64"/>
      <c r="H123" s="64" t="str">
        <f t="shared" si="2"/>
        <v/>
      </c>
      <c r="I123" s="65" t="str">
        <f t="shared" si="3"/>
        <v/>
      </c>
      <c r="J123" s="64"/>
    </row>
    <row r="124" spans="1:10">
      <c r="A124" s="63"/>
      <c r="B124" s="64"/>
      <c r="C124" s="64"/>
      <c r="D124" s="64"/>
      <c r="E124" s="65"/>
      <c r="F124" s="64"/>
      <c r="G124" s="64"/>
      <c r="H124" s="64" t="str">
        <f t="shared" si="2"/>
        <v/>
      </c>
      <c r="I124" s="65" t="str">
        <f t="shared" si="3"/>
        <v/>
      </c>
      <c r="J124" s="64"/>
    </row>
    <row r="125" spans="1:10">
      <c r="A125" s="63"/>
      <c r="B125" s="64"/>
      <c r="C125" s="64"/>
      <c r="D125" s="64"/>
      <c r="E125" s="65"/>
      <c r="F125" s="64"/>
      <c r="G125" s="64"/>
      <c r="H125" s="64" t="str">
        <f t="shared" si="2"/>
        <v/>
      </c>
      <c r="I125" s="65" t="str">
        <f t="shared" si="3"/>
        <v/>
      </c>
      <c r="J125" s="64"/>
    </row>
    <row r="126" spans="1:10">
      <c r="A126" s="63"/>
      <c r="B126" s="64"/>
      <c r="C126" s="64"/>
      <c r="D126" s="64"/>
      <c r="E126" s="65"/>
      <c r="F126" s="64"/>
      <c r="G126" s="64"/>
      <c r="H126" s="64" t="str">
        <f t="shared" si="2"/>
        <v/>
      </c>
      <c r="I126" s="65" t="str">
        <f t="shared" si="3"/>
        <v/>
      </c>
      <c r="J126" s="64"/>
    </row>
    <row r="127" spans="1:10">
      <c r="A127" s="63"/>
      <c r="B127" s="64"/>
      <c r="C127" s="64"/>
      <c r="D127" s="64"/>
      <c r="E127" s="65"/>
      <c r="F127" s="64"/>
      <c r="G127" s="64"/>
      <c r="H127" s="64" t="str">
        <f t="shared" si="2"/>
        <v/>
      </c>
      <c r="I127" s="65" t="str">
        <f t="shared" si="3"/>
        <v/>
      </c>
      <c r="J127" s="64"/>
    </row>
    <row r="128" spans="1:10">
      <c r="A128" s="63"/>
      <c r="B128" s="64"/>
      <c r="C128" s="64"/>
      <c r="D128" s="64"/>
      <c r="E128" s="65"/>
      <c r="F128" s="64"/>
      <c r="G128" s="64"/>
      <c r="H128" s="64" t="str">
        <f t="shared" si="2"/>
        <v/>
      </c>
      <c r="I128" s="65" t="str">
        <f t="shared" si="3"/>
        <v/>
      </c>
      <c r="J128" s="64"/>
    </row>
    <row r="129" spans="1:10">
      <c r="A129" s="63"/>
      <c r="B129" s="64"/>
      <c r="C129" s="64"/>
      <c r="D129" s="64"/>
      <c r="E129" s="65"/>
      <c r="F129" s="64"/>
      <c r="G129" s="64"/>
      <c r="H129" s="64" t="str">
        <f t="shared" si="2"/>
        <v/>
      </c>
      <c r="I129" s="65" t="str">
        <f t="shared" si="3"/>
        <v/>
      </c>
      <c r="J129" s="64"/>
    </row>
    <row r="130" spans="1:10">
      <c r="A130" s="63"/>
      <c r="B130" s="64"/>
      <c r="C130" s="64"/>
      <c r="D130" s="64"/>
      <c r="E130" s="65"/>
      <c r="F130" s="64"/>
      <c r="G130" s="64"/>
      <c r="H130" s="64" t="str">
        <f t="shared" si="2"/>
        <v/>
      </c>
      <c r="I130" s="65" t="str">
        <f t="shared" si="3"/>
        <v/>
      </c>
      <c r="J130" s="64"/>
    </row>
    <row r="131" spans="1:10">
      <c r="A131" s="63"/>
      <c r="B131" s="64"/>
      <c r="C131" s="64"/>
      <c r="D131" s="64"/>
      <c r="E131" s="65"/>
      <c r="F131" s="64"/>
      <c r="G131" s="64"/>
      <c r="H131" s="64" t="str">
        <f t="shared" si="2"/>
        <v/>
      </c>
      <c r="I131" s="65" t="str">
        <f t="shared" si="3"/>
        <v/>
      </c>
      <c r="J131" s="64"/>
    </row>
    <row r="132" spans="1:10">
      <c r="A132" s="63"/>
      <c r="B132" s="64"/>
      <c r="C132" s="64"/>
      <c r="D132" s="64"/>
      <c r="E132" s="65"/>
      <c r="F132" s="64"/>
      <c r="G132" s="64"/>
      <c r="H132" s="64" t="str">
        <f t="shared" si="2"/>
        <v/>
      </c>
      <c r="I132" s="65" t="str">
        <f t="shared" si="3"/>
        <v/>
      </c>
      <c r="J132" s="64"/>
    </row>
    <row r="133" spans="1:10">
      <c r="A133" s="63"/>
      <c r="B133" s="64"/>
      <c r="C133" s="64"/>
      <c r="D133" s="64"/>
      <c r="E133" s="65"/>
      <c r="F133" s="64"/>
      <c r="G133" s="64"/>
      <c r="H133" s="64" t="str">
        <f t="shared" si="2"/>
        <v/>
      </c>
      <c r="I133" s="65" t="str">
        <f t="shared" si="3"/>
        <v/>
      </c>
      <c r="J133" s="64"/>
    </row>
    <row r="134" spans="1:10">
      <c r="A134" s="63"/>
      <c r="B134" s="64"/>
      <c r="C134" s="64"/>
      <c r="D134" s="64"/>
      <c r="E134" s="65"/>
      <c r="F134" s="64"/>
      <c r="G134" s="64"/>
      <c r="H134" s="64" t="str">
        <f t="shared" si="2"/>
        <v/>
      </c>
      <c r="I134" s="65" t="str">
        <f t="shared" si="3"/>
        <v/>
      </c>
      <c r="J134" s="64"/>
    </row>
    <row r="135" spans="1:10">
      <c r="A135" s="63"/>
      <c r="B135" s="64"/>
      <c r="C135" s="64"/>
      <c r="D135" s="64"/>
      <c r="E135" s="65"/>
      <c r="F135" s="64"/>
      <c r="G135" s="64"/>
      <c r="H135" s="64" t="str">
        <f t="shared" si="2"/>
        <v/>
      </c>
      <c r="I135" s="65" t="str">
        <f t="shared" si="3"/>
        <v/>
      </c>
      <c r="J135" s="64"/>
    </row>
    <row r="136" spans="1:10">
      <c r="A136" s="63"/>
      <c r="B136" s="64"/>
      <c r="C136" s="64"/>
      <c r="D136" s="64"/>
      <c r="E136" s="65"/>
      <c r="F136" s="64"/>
      <c r="G136" s="64"/>
      <c r="H136" s="64" t="str">
        <f t="shared" si="2"/>
        <v/>
      </c>
      <c r="I136" s="65" t="str">
        <f t="shared" si="3"/>
        <v/>
      </c>
      <c r="J136" s="64"/>
    </row>
    <row r="137" spans="1:10">
      <c r="A137" s="63"/>
      <c r="B137" s="64"/>
      <c r="C137" s="64"/>
      <c r="D137" s="64"/>
      <c r="E137" s="65"/>
      <c r="F137" s="64"/>
      <c r="G137" s="64"/>
      <c r="H137" s="64" t="str">
        <f t="shared" si="2"/>
        <v/>
      </c>
      <c r="I137" s="65" t="str">
        <f t="shared" si="3"/>
        <v/>
      </c>
      <c r="J137" s="64"/>
    </row>
    <row r="138" spans="1:10">
      <c r="A138" s="63"/>
      <c r="B138" s="64"/>
      <c r="C138" s="64"/>
      <c r="D138" s="64"/>
      <c r="E138" s="65"/>
      <c r="F138" s="64"/>
      <c r="G138" s="64"/>
      <c r="H138" s="64" t="str">
        <f t="shared" si="2"/>
        <v/>
      </c>
      <c r="I138" s="65" t="str">
        <f t="shared" si="3"/>
        <v/>
      </c>
      <c r="J138" s="64"/>
    </row>
    <row r="139" spans="1:10">
      <c r="A139" s="63"/>
      <c r="B139" s="64"/>
      <c r="C139" s="64"/>
      <c r="D139" s="64"/>
      <c r="E139" s="65"/>
      <c r="F139" s="64"/>
      <c r="G139" s="64"/>
      <c r="H139" s="64" t="str">
        <f t="shared" ref="H139:H202" si="4">IF(A139="","",TEXT(A139,"mmm-yyyy"))</f>
        <v/>
      </c>
      <c r="I139" s="65" t="str">
        <f t="shared" ref="I139:I202" si="5">IF(OR(B139="",E139=""),"",IF(B139="Ingreso",E139,-E139))</f>
        <v/>
      </c>
      <c r="J139" s="64"/>
    </row>
    <row r="140" spans="1:10">
      <c r="A140" s="63"/>
      <c r="B140" s="64"/>
      <c r="C140" s="64"/>
      <c r="D140" s="64"/>
      <c r="E140" s="65"/>
      <c r="F140" s="64"/>
      <c r="G140" s="64"/>
      <c r="H140" s="64" t="str">
        <f t="shared" si="4"/>
        <v/>
      </c>
      <c r="I140" s="65" t="str">
        <f t="shared" si="5"/>
        <v/>
      </c>
      <c r="J140" s="64"/>
    </row>
    <row r="141" spans="1:10">
      <c r="A141" s="63"/>
      <c r="B141" s="64"/>
      <c r="C141" s="64"/>
      <c r="D141" s="64"/>
      <c r="E141" s="65"/>
      <c r="F141" s="64"/>
      <c r="G141" s="64"/>
      <c r="H141" s="64" t="str">
        <f t="shared" si="4"/>
        <v/>
      </c>
      <c r="I141" s="65" t="str">
        <f t="shared" si="5"/>
        <v/>
      </c>
      <c r="J141" s="64"/>
    </row>
    <row r="142" spans="1:10">
      <c r="A142" s="63"/>
      <c r="B142" s="64"/>
      <c r="C142" s="64"/>
      <c r="D142" s="64"/>
      <c r="E142" s="65"/>
      <c r="F142" s="64"/>
      <c r="G142" s="64"/>
      <c r="H142" s="64" t="str">
        <f t="shared" si="4"/>
        <v/>
      </c>
      <c r="I142" s="65" t="str">
        <f t="shared" si="5"/>
        <v/>
      </c>
      <c r="J142" s="64"/>
    </row>
    <row r="143" spans="1:10">
      <c r="A143" s="63"/>
      <c r="B143" s="64"/>
      <c r="C143" s="64"/>
      <c r="D143" s="64"/>
      <c r="E143" s="65"/>
      <c r="F143" s="64"/>
      <c r="G143" s="64"/>
      <c r="H143" s="64" t="str">
        <f t="shared" si="4"/>
        <v/>
      </c>
      <c r="I143" s="65" t="str">
        <f t="shared" si="5"/>
        <v/>
      </c>
      <c r="J143" s="64"/>
    </row>
    <row r="144" spans="1:10">
      <c r="A144" s="63"/>
      <c r="B144" s="64"/>
      <c r="C144" s="64"/>
      <c r="D144" s="64"/>
      <c r="E144" s="65"/>
      <c r="F144" s="64"/>
      <c r="G144" s="64"/>
      <c r="H144" s="64" t="str">
        <f t="shared" si="4"/>
        <v/>
      </c>
      <c r="I144" s="65" t="str">
        <f t="shared" si="5"/>
        <v/>
      </c>
      <c r="J144" s="64"/>
    </row>
    <row r="145" spans="1:10">
      <c r="A145" s="63"/>
      <c r="B145" s="64"/>
      <c r="C145" s="64"/>
      <c r="D145" s="64"/>
      <c r="E145" s="65"/>
      <c r="F145" s="64"/>
      <c r="G145" s="64"/>
      <c r="H145" s="64" t="str">
        <f t="shared" si="4"/>
        <v/>
      </c>
      <c r="I145" s="65" t="str">
        <f t="shared" si="5"/>
        <v/>
      </c>
      <c r="J145" s="64"/>
    </row>
    <row r="146" spans="1:10">
      <c r="A146" s="63"/>
      <c r="B146" s="64"/>
      <c r="C146" s="64"/>
      <c r="D146" s="64"/>
      <c r="E146" s="65"/>
      <c r="F146" s="64"/>
      <c r="G146" s="64"/>
      <c r="H146" s="64" t="str">
        <f t="shared" si="4"/>
        <v/>
      </c>
      <c r="I146" s="65" t="str">
        <f t="shared" si="5"/>
        <v/>
      </c>
      <c r="J146" s="64"/>
    </row>
    <row r="147" spans="1:10">
      <c r="A147" s="63"/>
      <c r="B147" s="64"/>
      <c r="C147" s="64"/>
      <c r="D147" s="64"/>
      <c r="E147" s="65"/>
      <c r="F147" s="64"/>
      <c r="G147" s="64"/>
      <c r="H147" s="64" t="str">
        <f t="shared" si="4"/>
        <v/>
      </c>
      <c r="I147" s="65" t="str">
        <f t="shared" si="5"/>
        <v/>
      </c>
      <c r="J147" s="64"/>
    </row>
    <row r="148" spans="1:10">
      <c r="A148" s="63"/>
      <c r="B148" s="64"/>
      <c r="C148" s="64"/>
      <c r="D148" s="64"/>
      <c r="E148" s="65"/>
      <c r="F148" s="64"/>
      <c r="G148" s="64"/>
      <c r="H148" s="64" t="str">
        <f t="shared" si="4"/>
        <v/>
      </c>
      <c r="I148" s="65" t="str">
        <f t="shared" si="5"/>
        <v/>
      </c>
      <c r="J148" s="64"/>
    </row>
    <row r="149" spans="1:10">
      <c r="A149" s="63"/>
      <c r="B149" s="64"/>
      <c r="C149" s="64"/>
      <c r="D149" s="64"/>
      <c r="E149" s="65"/>
      <c r="F149" s="64"/>
      <c r="G149" s="64"/>
      <c r="H149" s="64" t="str">
        <f t="shared" si="4"/>
        <v/>
      </c>
      <c r="I149" s="65" t="str">
        <f t="shared" si="5"/>
        <v/>
      </c>
      <c r="J149" s="64"/>
    </row>
    <row r="150" spans="1:10">
      <c r="A150" s="63"/>
      <c r="B150" s="64"/>
      <c r="C150" s="64"/>
      <c r="D150" s="64"/>
      <c r="E150" s="65"/>
      <c r="F150" s="64"/>
      <c r="G150" s="64"/>
      <c r="H150" s="64" t="str">
        <f t="shared" si="4"/>
        <v/>
      </c>
      <c r="I150" s="65" t="str">
        <f t="shared" si="5"/>
        <v/>
      </c>
      <c r="J150" s="64"/>
    </row>
    <row r="151" spans="1:10">
      <c r="A151" s="63"/>
      <c r="B151" s="64"/>
      <c r="C151" s="64"/>
      <c r="D151" s="64"/>
      <c r="E151" s="65"/>
      <c r="F151" s="64"/>
      <c r="G151" s="64"/>
      <c r="H151" s="64" t="str">
        <f t="shared" si="4"/>
        <v/>
      </c>
      <c r="I151" s="65" t="str">
        <f t="shared" si="5"/>
        <v/>
      </c>
      <c r="J151" s="64"/>
    </row>
    <row r="152" spans="1:10">
      <c r="A152" s="63"/>
      <c r="B152" s="64"/>
      <c r="C152" s="64"/>
      <c r="D152" s="64"/>
      <c r="E152" s="65"/>
      <c r="F152" s="64"/>
      <c r="G152" s="64"/>
      <c r="H152" s="64" t="str">
        <f t="shared" si="4"/>
        <v/>
      </c>
      <c r="I152" s="65" t="str">
        <f t="shared" si="5"/>
        <v/>
      </c>
      <c r="J152" s="64"/>
    </row>
    <row r="153" spans="1:10">
      <c r="A153" s="63"/>
      <c r="B153" s="64"/>
      <c r="C153" s="64"/>
      <c r="D153" s="64"/>
      <c r="E153" s="65"/>
      <c r="F153" s="64"/>
      <c r="G153" s="64"/>
      <c r="H153" s="64" t="str">
        <f t="shared" si="4"/>
        <v/>
      </c>
      <c r="I153" s="65" t="str">
        <f t="shared" si="5"/>
        <v/>
      </c>
      <c r="J153" s="64"/>
    </row>
    <row r="154" spans="1:10">
      <c r="A154" s="63"/>
      <c r="B154" s="64"/>
      <c r="C154" s="64"/>
      <c r="D154" s="64"/>
      <c r="E154" s="65"/>
      <c r="F154" s="64"/>
      <c r="G154" s="64"/>
      <c r="H154" s="64" t="str">
        <f t="shared" si="4"/>
        <v/>
      </c>
      <c r="I154" s="65" t="str">
        <f t="shared" si="5"/>
        <v/>
      </c>
      <c r="J154" s="64"/>
    </row>
    <row r="155" spans="1:10">
      <c r="A155" s="63"/>
      <c r="B155" s="64"/>
      <c r="C155" s="64"/>
      <c r="D155" s="64"/>
      <c r="E155" s="65"/>
      <c r="F155" s="64"/>
      <c r="G155" s="64"/>
      <c r="H155" s="64" t="str">
        <f t="shared" si="4"/>
        <v/>
      </c>
      <c r="I155" s="65" t="str">
        <f t="shared" si="5"/>
        <v/>
      </c>
      <c r="J155" s="64"/>
    </row>
    <row r="156" spans="1:10">
      <c r="A156" s="63"/>
      <c r="B156" s="64"/>
      <c r="C156" s="64"/>
      <c r="D156" s="64"/>
      <c r="E156" s="65"/>
      <c r="F156" s="64"/>
      <c r="G156" s="64"/>
      <c r="H156" s="64" t="str">
        <f t="shared" si="4"/>
        <v/>
      </c>
      <c r="I156" s="65" t="str">
        <f t="shared" si="5"/>
        <v/>
      </c>
      <c r="J156" s="64"/>
    </row>
    <row r="157" spans="1:10">
      <c r="A157" s="63"/>
      <c r="B157" s="64"/>
      <c r="C157" s="64"/>
      <c r="D157" s="64"/>
      <c r="E157" s="65"/>
      <c r="F157" s="64"/>
      <c r="G157" s="64"/>
      <c r="H157" s="64" t="str">
        <f t="shared" si="4"/>
        <v/>
      </c>
      <c r="I157" s="65" t="str">
        <f t="shared" si="5"/>
        <v/>
      </c>
      <c r="J157" s="64"/>
    </row>
    <row r="158" spans="1:10">
      <c r="A158" s="63"/>
      <c r="B158" s="64"/>
      <c r="C158" s="64"/>
      <c r="D158" s="64"/>
      <c r="E158" s="65"/>
      <c r="F158" s="64"/>
      <c r="G158" s="64"/>
      <c r="H158" s="64" t="str">
        <f t="shared" si="4"/>
        <v/>
      </c>
      <c r="I158" s="65" t="str">
        <f t="shared" si="5"/>
        <v/>
      </c>
      <c r="J158" s="64"/>
    </row>
    <row r="159" spans="1:10">
      <c r="A159" s="63"/>
      <c r="B159" s="64"/>
      <c r="C159" s="64"/>
      <c r="D159" s="64"/>
      <c r="E159" s="65"/>
      <c r="F159" s="64"/>
      <c r="G159" s="64"/>
      <c r="H159" s="64" t="str">
        <f t="shared" si="4"/>
        <v/>
      </c>
      <c r="I159" s="65" t="str">
        <f t="shared" si="5"/>
        <v/>
      </c>
      <c r="J159" s="64"/>
    </row>
    <row r="160" spans="1:10">
      <c r="A160" s="63"/>
      <c r="B160" s="64"/>
      <c r="C160" s="64"/>
      <c r="D160" s="64"/>
      <c r="E160" s="65"/>
      <c r="F160" s="64"/>
      <c r="G160" s="64"/>
      <c r="H160" s="64" t="str">
        <f t="shared" si="4"/>
        <v/>
      </c>
      <c r="I160" s="65" t="str">
        <f t="shared" si="5"/>
        <v/>
      </c>
      <c r="J160" s="64"/>
    </row>
    <row r="161" spans="1:10">
      <c r="A161" s="63"/>
      <c r="B161" s="64"/>
      <c r="C161" s="64"/>
      <c r="D161" s="64"/>
      <c r="E161" s="65"/>
      <c r="F161" s="64"/>
      <c r="G161" s="64"/>
      <c r="H161" s="64" t="str">
        <f t="shared" si="4"/>
        <v/>
      </c>
      <c r="I161" s="65" t="str">
        <f t="shared" si="5"/>
        <v/>
      </c>
      <c r="J161" s="64"/>
    </row>
    <row r="162" spans="1:10">
      <c r="A162" s="63"/>
      <c r="B162" s="64"/>
      <c r="C162" s="64"/>
      <c r="D162" s="64"/>
      <c r="E162" s="65"/>
      <c r="F162" s="64"/>
      <c r="G162" s="64"/>
      <c r="H162" s="64" t="str">
        <f t="shared" si="4"/>
        <v/>
      </c>
      <c r="I162" s="65" t="str">
        <f t="shared" si="5"/>
        <v/>
      </c>
      <c r="J162" s="64"/>
    </row>
    <row r="163" spans="1:10">
      <c r="A163" s="63"/>
      <c r="B163" s="64"/>
      <c r="C163" s="64"/>
      <c r="D163" s="64"/>
      <c r="E163" s="65"/>
      <c r="F163" s="64"/>
      <c r="G163" s="64"/>
      <c r="H163" s="64" t="str">
        <f t="shared" si="4"/>
        <v/>
      </c>
      <c r="I163" s="65" t="str">
        <f t="shared" si="5"/>
        <v/>
      </c>
      <c r="J163" s="64"/>
    </row>
    <row r="164" spans="1:10">
      <c r="A164" s="63"/>
      <c r="B164" s="64"/>
      <c r="C164" s="64"/>
      <c r="D164" s="64"/>
      <c r="E164" s="65"/>
      <c r="F164" s="64"/>
      <c r="G164" s="64"/>
      <c r="H164" s="64" t="str">
        <f t="shared" si="4"/>
        <v/>
      </c>
      <c r="I164" s="65" t="str">
        <f t="shared" si="5"/>
        <v/>
      </c>
      <c r="J164" s="64"/>
    </row>
    <row r="165" spans="1:10">
      <c r="A165" s="63"/>
      <c r="B165" s="64"/>
      <c r="C165" s="64"/>
      <c r="D165" s="64"/>
      <c r="E165" s="65"/>
      <c r="F165" s="64"/>
      <c r="G165" s="64"/>
      <c r="H165" s="64" t="str">
        <f t="shared" si="4"/>
        <v/>
      </c>
      <c r="I165" s="65" t="str">
        <f t="shared" si="5"/>
        <v/>
      </c>
      <c r="J165" s="64"/>
    </row>
    <row r="166" spans="1:10">
      <c r="A166" s="63"/>
      <c r="B166" s="64"/>
      <c r="C166" s="64"/>
      <c r="D166" s="64"/>
      <c r="E166" s="65"/>
      <c r="F166" s="64"/>
      <c r="G166" s="64"/>
      <c r="H166" s="64" t="str">
        <f t="shared" si="4"/>
        <v/>
      </c>
      <c r="I166" s="65" t="str">
        <f t="shared" si="5"/>
        <v/>
      </c>
      <c r="J166" s="64"/>
    </row>
    <row r="167" spans="1:10">
      <c r="A167" s="63"/>
      <c r="B167" s="64"/>
      <c r="C167" s="64"/>
      <c r="D167" s="64"/>
      <c r="E167" s="65"/>
      <c r="F167" s="64"/>
      <c r="G167" s="64"/>
      <c r="H167" s="64" t="str">
        <f t="shared" si="4"/>
        <v/>
      </c>
      <c r="I167" s="65" t="str">
        <f t="shared" si="5"/>
        <v/>
      </c>
      <c r="J167" s="64"/>
    </row>
    <row r="168" spans="1:10">
      <c r="A168" s="63"/>
      <c r="B168" s="64"/>
      <c r="C168" s="64"/>
      <c r="D168" s="64"/>
      <c r="E168" s="65"/>
      <c r="F168" s="64"/>
      <c r="G168" s="64"/>
      <c r="H168" s="64" t="str">
        <f t="shared" si="4"/>
        <v/>
      </c>
      <c r="I168" s="65" t="str">
        <f t="shared" si="5"/>
        <v/>
      </c>
      <c r="J168" s="64"/>
    </row>
    <row r="169" spans="1:10">
      <c r="A169" s="63"/>
      <c r="B169" s="64"/>
      <c r="C169" s="64"/>
      <c r="D169" s="64"/>
      <c r="E169" s="65"/>
      <c r="F169" s="64"/>
      <c r="G169" s="64"/>
      <c r="H169" s="64" t="str">
        <f t="shared" si="4"/>
        <v/>
      </c>
      <c r="I169" s="65" t="str">
        <f t="shared" si="5"/>
        <v/>
      </c>
      <c r="J169" s="64"/>
    </row>
    <row r="170" spans="1:10">
      <c r="A170" s="63"/>
      <c r="B170" s="64"/>
      <c r="C170" s="64"/>
      <c r="D170" s="64"/>
      <c r="E170" s="65"/>
      <c r="F170" s="64"/>
      <c r="G170" s="64"/>
      <c r="H170" s="64" t="str">
        <f t="shared" si="4"/>
        <v/>
      </c>
      <c r="I170" s="65" t="str">
        <f t="shared" si="5"/>
        <v/>
      </c>
      <c r="J170" s="64"/>
    </row>
    <row r="171" spans="1:10">
      <c r="A171" s="63"/>
      <c r="B171" s="64"/>
      <c r="C171" s="64"/>
      <c r="D171" s="64"/>
      <c r="E171" s="65"/>
      <c r="F171" s="64"/>
      <c r="G171" s="64"/>
      <c r="H171" s="64" t="str">
        <f t="shared" si="4"/>
        <v/>
      </c>
      <c r="I171" s="65" t="str">
        <f t="shared" si="5"/>
        <v/>
      </c>
      <c r="J171" s="64"/>
    </row>
    <row r="172" spans="1:10">
      <c r="A172" s="63"/>
      <c r="B172" s="64"/>
      <c r="C172" s="64"/>
      <c r="D172" s="64"/>
      <c r="E172" s="65"/>
      <c r="F172" s="64"/>
      <c r="G172" s="64"/>
      <c r="H172" s="64" t="str">
        <f t="shared" si="4"/>
        <v/>
      </c>
      <c r="I172" s="65" t="str">
        <f t="shared" si="5"/>
        <v/>
      </c>
      <c r="J172" s="64"/>
    </row>
    <row r="173" spans="1:10">
      <c r="A173" s="63"/>
      <c r="B173" s="64"/>
      <c r="C173" s="64"/>
      <c r="D173" s="64"/>
      <c r="E173" s="65"/>
      <c r="F173" s="64"/>
      <c r="G173" s="64"/>
      <c r="H173" s="64" t="str">
        <f t="shared" si="4"/>
        <v/>
      </c>
      <c r="I173" s="65" t="str">
        <f t="shared" si="5"/>
        <v/>
      </c>
      <c r="J173" s="64"/>
    </row>
    <row r="174" spans="1:10">
      <c r="A174" s="63"/>
      <c r="B174" s="64"/>
      <c r="C174" s="64"/>
      <c r="D174" s="64"/>
      <c r="E174" s="65"/>
      <c r="F174" s="64"/>
      <c r="G174" s="64"/>
      <c r="H174" s="64" t="str">
        <f t="shared" si="4"/>
        <v/>
      </c>
      <c r="I174" s="65" t="str">
        <f t="shared" si="5"/>
        <v/>
      </c>
      <c r="J174" s="64"/>
    </row>
    <row r="175" spans="1:10">
      <c r="A175" s="63"/>
      <c r="B175" s="64"/>
      <c r="C175" s="64"/>
      <c r="D175" s="64"/>
      <c r="E175" s="65"/>
      <c r="F175" s="64"/>
      <c r="G175" s="64"/>
      <c r="H175" s="64" t="str">
        <f t="shared" si="4"/>
        <v/>
      </c>
      <c r="I175" s="65" t="str">
        <f t="shared" si="5"/>
        <v/>
      </c>
      <c r="J175" s="64"/>
    </row>
    <row r="176" spans="1:10">
      <c r="A176" s="63"/>
      <c r="B176" s="64"/>
      <c r="C176" s="64"/>
      <c r="D176" s="64"/>
      <c r="E176" s="65"/>
      <c r="F176" s="64"/>
      <c r="G176" s="64"/>
      <c r="H176" s="64" t="str">
        <f t="shared" si="4"/>
        <v/>
      </c>
      <c r="I176" s="65" t="str">
        <f t="shared" si="5"/>
        <v/>
      </c>
      <c r="J176" s="64"/>
    </row>
    <row r="177" spans="1:10">
      <c r="A177" s="63"/>
      <c r="B177" s="64"/>
      <c r="C177" s="64"/>
      <c r="D177" s="64"/>
      <c r="E177" s="65"/>
      <c r="F177" s="64"/>
      <c r="G177" s="64"/>
      <c r="H177" s="64" t="str">
        <f t="shared" si="4"/>
        <v/>
      </c>
      <c r="I177" s="65" t="str">
        <f t="shared" si="5"/>
        <v/>
      </c>
      <c r="J177" s="64"/>
    </row>
    <row r="178" spans="1:10">
      <c r="A178" s="63"/>
      <c r="B178" s="64"/>
      <c r="C178" s="64"/>
      <c r="D178" s="64"/>
      <c r="E178" s="65"/>
      <c r="F178" s="64"/>
      <c r="G178" s="64"/>
      <c r="H178" s="64" t="str">
        <f t="shared" si="4"/>
        <v/>
      </c>
      <c r="I178" s="65" t="str">
        <f t="shared" si="5"/>
        <v/>
      </c>
      <c r="J178" s="64"/>
    </row>
    <row r="179" spans="1:10">
      <c r="A179" s="63"/>
      <c r="B179" s="64"/>
      <c r="C179" s="64"/>
      <c r="D179" s="64"/>
      <c r="E179" s="65"/>
      <c r="F179" s="64"/>
      <c r="G179" s="64"/>
      <c r="H179" s="64" t="str">
        <f t="shared" si="4"/>
        <v/>
      </c>
      <c r="I179" s="65" t="str">
        <f t="shared" si="5"/>
        <v/>
      </c>
      <c r="J179" s="64"/>
    </row>
    <row r="180" spans="1:10">
      <c r="A180" s="63"/>
      <c r="B180" s="64"/>
      <c r="C180" s="64"/>
      <c r="D180" s="64"/>
      <c r="E180" s="65"/>
      <c r="F180" s="64"/>
      <c r="G180" s="64"/>
      <c r="H180" s="64" t="str">
        <f t="shared" si="4"/>
        <v/>
      </c>
      <c r="I180" s="65" t="str">
        <f t="shared" si="5"/>
        <v/>
      </c>
      <c r="J180" s="64"/>
    </row>
    <row r="181" spans="1:10">
      <c r="A181" s="63"/>
      <c r="B181" s="64"/>
      <c r="C181" s="64"/>
      <c r="D181" s="64"/>
      <c r="E181" s="65"/>
      <c r="F181" s="64"/>
      <c r="G181" s="64"/>
      <c r="H181" s="64" t="str">
        <f t="shared" si="4"/>
        <v/>
      </c>
      <c r="I181" s="65" t="str">
        <f t="shared" si="5"/>
        <v/>
      </c>
      <c r="J181" s="64"/>
    </row>
    <row r="182" spans="1:10">
      <c r="A182" s="63"/>
      <c r="B182" s="64"/>
      <c r="C182" s="64"/>
      <c r="D182" s="64"/>
      <c r="E182" s="65"/>
      <c r="F182" s="64"/>
      <c r="G182" s="64"/>
      <c r="H182" s="64" t="str">
        <f t="shared" si="4"/>
        <v/>
      </c>
      <c r="I182" s="65" t="str">
        <f t="shared" si="5"/>
        <v/>
      </c>
      <c r="J182" s="64"/>
    </row>
    <row r="183" spans="1:10">
      <c r="A183" s="63"/>
      <c r="B183" s="64"/>
      <c r="C183" s="64"/>
      <c r="D183" s="64"/>
      <c r="E183" s="65"/>
      <c r="F183" s="64"/>
      <c r="G183" s="64"/>
      <c r="H183" s="64" t="str">
        <f t="shared" si="4"/>
        <v/>
      </c>
      <c r="I183" s="65" t="str">
        <f t="shared" si="5"/>
        <v/>
      </c>
      <c r="J183" s="64"/>
    </row>
    <row r="184" spans="1:10">
      <c r="A184" s="63"/>
      <c r="B184" s="64"/>
      <c r="C184" s="64"/>
      <c r="D184" s="64"/>
      <c r="E184" s="65"/>
      <c r="F184" s="64"/>
      <c r="G184" s="64"/>
      <c r="H184" s="64" t="str">
        <f t="shared" si="4"/>
        <v/>
      </c>
      <c r="I184" s="65" t="str">
        <f t="shared" si="5"/>
        <v/>
      </c>
      <c r="J184" s="64"/>
    </row>
    <row r="185" spans="1:10">
      <c r="A185" s="63"/>
      <c r="B185" s="64"/>
      <c r="C185" s="64"/>
      <c r="D185" s="64"/>
      <c r="E185" s="65"/>
      <c r="F185" s="64"/>
      <c r="G185" s="64"/>
      <c r="H185" s="64" t="str">
        <f t="shared" si="4"/>
        <v/>
      </c>
      <c r="I185" s="65" t="str">
        <f t="shared" si="5"/>
        <v/>
      </c>
      <c r="J185" s="64"/>
    </row>
    <row r="186" spans="1:10">
      <c r="A186" s="63"/>
      <c r="B186" s="64"/>
      <c r="C186" s="64"/>
      <c r="D186" s="64"/>
      <c r="E186" s="65"/>
      <c r="F186" s="64"/>
      <c r="G186" s="64"/>
      <c r="H186" s="64" t="str">
        <f t="shared" si="4"/>
        <v/>
      </c>
      <c r="I186" s="65" t="str">
        <f t="shared" si="5"/>
        <v/>
      </c>
      <c r="J186" s="64"/>
    </row>
    <row r="187" spans="1:10">
      <c r="A187" s="63"/>
      <c r="B187" s="64"/>
      <c r="C187" s="64"/>
      <c r="D187" s="64"/>
      <c r="E187" s="65"/>
      <c r="F187" s="64"/>
      <c r="G187" s="64"/>
      <c r="H187" s="64" t="str">
        <f t="shared" si="4"/>
        <v/>
      </c>
      <c r="I187" s="65" t="str">
        <f t="shared" si="5"/>
        <v/>
      </c>
      <c r="J187" s="64"/>
    </row>
    <row r="188" spans="1:10">
      <c r="A188" s="63"/>
      <c r="B188" s="64"/>
      <c r="C188" s="64"/>
      <c r="D188" s="64"/>
      <c r="E188" s="65"/>
      <c r="F188" s="64"/>
      <c r="G188" s="64"/>
      <c r="H188" s="64" t="str">
        <f t="shared" si="4"/>
        <v/>
      </c>
      <c r="I188" s="65" t="str">
        <f t="shared" si="5"/>
        <v/>
      </c>
      <c r="J188" s="64"/>
    </row>
    <row r="189" spans="1:10">
      <c r="A189" s="63"/>
      <c r="B189" s="64"/>
      <c r="C189" s="64"/>
      <c r="D189" s="64"/>
      <c r="E189" s="65"/>
      <c r="F189" s="64"/>
      <c r="G189" s="64"/>
      <c r="H189" s="64" t="str">
        <f t="shared" si="4"/>
        <v/>
      </c>
      <c r="I189" s="65" t="str">
        <f t="shared" si="5"/>
        <v/>
      </c>
      <c r="J189" s="64"/>
    </row>
    <row r="190" spans="1:10">
      <c r="A190" s="63"/>
      <c r="B190" s="64"/>
      <c r="C190" s="64"/>
      <c r="D190" s="64"/>
      <c r="E190" s="65"/>
      <c r="F190" s="64"/>
      <c r="G190" s="64"/>
      <c r="H190" s="64" t="str">
        <f t="shared" si="4"/>
        <v/>
      </c>
      <c r="I190" s="65" t="str">
        <f t="shared" si="5"/>
        <v/>
      </c>
      <c r="J190" s="64"/>
    </row>
    <row r="191" spans="1:10">
      <c r="A191" s="63"/>
      <c r="B191" s="64"/>
      <c r="C191" s="64"/>
      <c r="D191" s="64"/>
      <c r="E191" s="65"/>
      <c r="F191" s="64"/>
      <c r="G191" s="64"/>
      <c r="H191" s="64" t="str">
        <f t="shared" si="4"/>
        <v/>
      </c>
      <c r="I191" s="65" t="str">
        <f t="shared" si="5"/>
        <v/>
      </c>
      <c r="J191" s="64"/>
    </row>
    <row r="192" spans="1:10">
      <c r="A192" s="63"/>
      <c r="B192" s="64"/>
      <c r="C192" s="64"/>
      <c r="D192" s="64"/>
      <c r="E192" s="65"/>
      <c r="F192" s="64"/>
      <c r="G192" s="64"/>
      <c r="H192" s="64" t="str">
        <f t="shared" si="4"/>
        <v/>
      </c>
      <c r="I192" s="65" t="str">
        <f t="shared" si="5"/>
        <v/>
      </c>
      <c r="J192" s="64"/>
    </row>
    <row r="193" spans="1:10">
      <c r="A193" s="63"/>
      <c r="B193" s="64"/>
      <c r="C193" s="64"/>
      <c r="D193" s="64"/>
      <c r="E193" s="65"/>
      <c r="F193" s="64"/>
      <c r="G193" s="64"/>
      <c r="H193" s="64" t="str">
        <f t="shared" si="4"/>
        <v/>
      </c>
      <c r="I193" s="65" t="str">
        <f t="shared" si="5"/>
        <v/>
      </c>
      <c r="J193" s="64"/>
    </row>
    <row r="194" spans="1:10">
      <c r="A194" s="63"/>
      <c r="B194" s="64"/>
      <c r="C194" s="64"/>
      <c r="D194" s="64"/>
      <c r="E194" s="65"/>
      <c r="F194" s="64"/>
      <c r="G194" s="64"/>
      <c r="H194" s="64" t="str">
        <f t="shared" si="4"/>
        <v/>
      </c>
      <c r="I194" s="65" t="str">
        <f t="shared" si="5"/>
        <v/>
      </c>
      <c r="J194" s="64"/>
    </row>
    <row r="195" spans="1:10">
      <c r="A195" s="63"/>
      <c r="B195" s="64"/>
      <c r="C195" s="64"/>
      <c r="D195" s="64"/>
      <c r="E195" s="65"/>
      <c r="F195" s="64"/>
      <c r="G195" s="64"/>
      <c r="H195" s="64" t="str">
        <f t="shared" si="4"/>
        <v/>
      </c>
      <c r="I195" s="65" t="str">
        <f t="shared" si="5"/>
        <v/>
      </c>
      <c r="J195" s="64"/>
    </row>
    <row r="196" spans="1:10">
      <c r="A196" s="63"/>
      <c r="B196" s="64"/>
      <c r="C196" s="64"/>
      <c r="D196" s="64"/>
      <c r="E196" s="65"/>
      <c r="F196" s="64"/>
      <c r="G196" s="64"/>
      <c r="H196" s="64" t="str">
        <f t="shared" si="4"/>
        <v/>
      </c>
      <c r="I196" s="65" t="str">
        <f t="shared" si="5"/>
        <v/>
      </c>
      <c r="J196" s="64"/>
    </row>
    <row r="197" spans="1:10">
      <c r="A197" s="63"/>
      <c r="B197" s="64"/>
      <c r="C197" s="64"/>
      <c r="D197" s="64"/>
      <c r="E197" s="65"/>
      <c r="F197" s="64"/>
      <c r="G197" s="64"/>
      <c r="H197" s="64" t="str">
        <f t="shared" si="4"/>
        <v/>
      </c>
      <c r="I197" s="65" t="str">
        <f t="shared" si="5"/>
        <v/>
      </c>
      <c r="J197" s="64"/>
    </row>
    <row r="198" spans="1:10">
      <c r="A198" s="63"/>
      <c r="B198" s="64"/>
      <c r="C198" s="64"/>
      <c r="D198" s="64"/>
      <c r="E198" s="65"/>
      <c r="F198" s="64"/>
      <c r="G198" s="64"/>
      <c r="H198" s="64" t="str">
        <f t="shared" si="4"/>
        <v/>
      </c>
      <c r="I198" s="65" t="str">
        <f t="shared" si="5"/>
        <v/>
      </c>
      <c r="J198" s="64"/>
    </row>
    <row r="199" spans="1:10">
      <c r="A199" s="63"/>
      <c r="B199" s="64"/>
      <c r="C199" s="64"/>
      <c r="D199" s="64"/>
      <c r="E199" s="65"/>
      <c r="F199" s="64"/>
      <c r="G199" s="64"/>
      <c r="H199" s="64" t="str">
        <f t="shared" si="4"/>
        <v/>
      </c>
      <c r="I199" s="65" t="str">
        <f t="shared" si="5"/>
        <v/>
      </c>
      <c r="J199" s="64"/>
    </row>
    <row r="200" spans="1:10">
      <c r="A200" s="63"/>
      <c r="B200" s="64"/>
      <c r="C200" s="64"/>
      <c r="D200" s="64"/>
      <c r="E200" s="65"/>
      <c r="F200" s="64"/>
      <c r="G200" s="64"/>
      <c r="H200" s="64" t="str">
        <f t="shared" si="4"/>
        <v/>
      </c>
      <c r="I200" s="65" t="str">
        <f t="shared" si="5"/>
        <v/>
      </c>
      <c r="J200" s="64"/>
    </row>
    <row r="201" spans="1:10">
      <c r="A201" s="63"/>
      <c r="B201" s="64"/>
      <c r="C201" s="64"/>
      <c r="D201" s="64"/>
      <c r="E201" s="65"/>
      <c r="F201" s="64"/>
      <c r="G201" s="64"/>
      <c r="H201" s="64" t="str">
        <f t="shared" si="4"/>
        <v/>
      </c>
      <c r="I201" s="65" t="str">
        <f t="shared" si="5"/>
        <v/>
      </c>
      <c r="J201" s="64"/>
    </row>
    <row r="202" spans="1:10">
      <c r="A202" s="63"/>
      <c r="B202" s="64"/>
      <c r="C202" s="64"/>
      <c r="D202" s="64"/>
      <c r="E202" s="65"/>
      <c r="F202" s="64"/>
      <c r="G202" s="64"/>
      <c r="H202" s="64" t="str">
        <f t="shared" si="4"/>
        <v/>
      </c>
      <c r="I202" s="65" t="str">
        <f t="shared" si="5"/>
        <v/>
      </c>
      <c r="J202" s="64"/>
    </row>
    <row r="203" spans="1:10">
      <c r="A203" s="63"/>
      <c r="B203" s="64"/>
      <c r="C203" s="64"/>
      <c r="D203" s="64"/>
      <c r="E203" s="65"/>
      <c r="F203" s="64"/>
      <c r="G203" s="64"/>
      <c r="H203" s="64" t="str">
        <f t="shared" ref="H203:H266" si="6">IF(A203="","",TEXT(A203,"mmm-yyyy"))</f>
        <v/>
      </c>
      <c r="I203" s="65" t="str">
        <f t="shared" ref="I203:I266" si="7">IF(OR(B203="",E203=""),"",IF(B203="Ingreso",E203,-E203))</f>
        <v/>
      </c>
      <c r="J203" s="64"/>
    </row>
    <row r="204" spans="1:10">
      <c r="A204" s="63"/>
      <c r="B204" s="64"/>
      <c r="C204" s="64"/>
      <c r="D204" s="64"/>
      <c r="E204" s="65"/>
      <c r="F204" s="64"/>
      <c r="G204" s="64"/>
      <c r="H204" s="64" t="str">
        <f t="shared" si="6"/>
        <v/>
      </c>
      <c r="I204" s="65" t="str">
        <f t="shared" si="7"/>
        <v/>
      </c>
      <c r="J204" s="64"/>
    </row>
    <row r="205" spans="1:10">
      <c r="A205" s="63"/>
      <c r="B205" s="64"/>
      <c r="C205" s="64"/>
      <c r="D205" s="64"/>
      <c r="E205" s="65"/>
      <c r="F205" s="64"/>
      <c r="G205" s="64"/>
      <c r="H205" s="64" t="str">
        <f t="shared" si="6"/>
        <v/>
      </c>
      <c r="I205" s="65" t="str">
        <f t="shared" si="7"/>
        <v/>
      </c>
      <c r="J205" s="64"/>
    </row>
    <row r="206" spans="1:10">
      <c r="A206" s="63"/>
      <c r="B206" s="64"/>
      <c r="C206" s="64"/>
      <c r="D206" s="64"/>
      <c r="E206" s="65"/>
      <c r="F206" s="64"/>
      <c r="G206" s="64"/>
      <c r="H206" s="64" t="str">
        <f t="shared" si="6"/>
        <v/>
      </c>
      <c r="I206" s="65" t="str">
        <f t="shared" si="7"/>
        <v/>
      </c>
      <c r="J206" s="64"/>
    </row>
    <row r="207" spans="1:10">
      <c r="A207" s="63"/>
      <c r="B207" s="64"/>
      <c r="C207" s="64"/>
      <c r="D207" s="64"/>
      <c r="E207" s="65"/>
      <c r="F207" s="64"/>
      <c r="G207" s="64"/>
      <c r="H207" s="64" t="str">
        <f t="shared" si="6"/>
        <v/>
      </c>
      <c r="I207" s="65" t="str">
        <f t="shared" si="7"/>
        <v/>
      </c>
      <c r="J207" s="64"/>
    </row>
    <row r="208" spans="1:10">
      <c r="A208" s="63"/>
      <c r="B208" s="64"/>
      <c r="C208" s="64"/>
      <c r="D208" s="64"/>
      <c r="E208" s="65"/>
      <c r="F208" s="64"/>
      <c r="G208" s="64"/>
      <c r="H208" s="64" t="str">
        <f t="shared" si="6"/>
        <v/>
      </c>
      <c r="I208" s="65" t="str">
        <f t="shared" si="7"/>
        <v/>
      </c>
      <c r="J208" s="64"/>
    </row>
    <row r="209" spans="1:10">
      <c r="A209" s="63"/>
      <c r="B209" s="64"/>
      <c r="C209" s="64"/>
      <c r="D209" s="64"/>
      <c r="E209" s="65"/>
      <c r="F209" s="64"/>
      <c r="G209" s="64"/>
      <c r="H209" s="64" t="str">
        <f t="shared" si="6"/>
        <v/>
      </c>
      <c r="I209" s="65" t="str">
        <f t="shared" si="7"/>
        <v/>
      </c>
      <c r="J209" s="64"/>
    </row>
    <row r="210" spans="1:10">
      <c r="A210" s="63"/>
      <c r="B210" s="64"/>
      <c r="C210" s="64"/>
      <c r="D210" s="64"/>
      <c r="E210" s="65"/>
      <c r="F210" s="64"/>
      <c r="G210" s="64"/>
      <c r="H210" s="64" t="str">
        <f t="shared" si="6"/>
        <v/>
      </c>
      <c r="I210" s="65" t="str">
        <f t="shared" si="7"/>
        <v/>
      </c>
      <c r="J210" s="64"/>
    </row>
    <row r="211" spans="1:10">
      <c r="A211" s="63"/>
      <c r="B211" s="64"/>
      <c r="C211" s="64"/>
      <c r="D211" s="64"/>
      <c r="E211" s="65"/>
      <c r="F211" s="64"/>
      <c r="G211" s="64"/>
      <c r="H211" s="64" t="str">
        <f t="shared" si="6"/>
        <v/>
      </c>
      <c r="I211" s="65" t="str">
        <f t="shared" si="7"/>
        <v/>
      </c>
      <c r="J211" s="64"/>
    </row>
    <row r="212" spans="1:10">
      <c r="A212" s="63"/>
      <c r="B212" s="64"/>
      <c r="C212" s="64"/>
      <c r="D212" s="64"/>
      <c r="E212" s="65"/>
      <c r="F212" s="64"/>
      <c r="G212" s="64"/>
      <c r="H212" s="64" t="str">
        <f t="shared" si="6"/>
        <v/>
      </c>
      <c r="I212" s="65" t="str">
        <f t="shared" si="7"/>
        <v/>
      </c>
      <c r="J212" s="64"/>
    </row>
    <row r="213" spans="1:10">
      <c r="A213" s="63"/>
      <c r="B213" s="64"/>
      <c r="C213" s="64"/>
      <c r="D213" s="64"/>
      <c r="E213" s="65"/>
      <c r="F213" s="64"/>
      <c r="G213" s="64"/>
      <c r="H213" s="64" t="str">
        <f t="shared" si="6"/>
        <v/>
      </c>
      <c r="I213" s="65" t="str">
        <f t="shared" si="7"/>
        <v/>
      </c>
      <c r="J213" s="64"/>
    </row>
    <row r="214" spans="1:10">
      <c r="A214" s="63"/>
      <c r="B214" s="64"/>
      <c r="C214" s="64"/>
      <c r="D214" s="64"/>
      <c r="E214" s="65"/>
      <c r="F214" s="64"/>
      <c r="G214" s="64"/>
      <c r="H214" s="64" t="str">
        <f t="shared" si="6"/>
        <v/>
      </c>
      <c r="I214" s="65" t="str">
        <f t="shared" si="7"/>
        <v/>
      </c>
      <c r="J214" s="64"/>
    </row>
    <row r="215" spans="1:10">
      <c r="A215" s="63"/>
      <c r="B215" s="64"/>
      <c r="C215" s="64"/>
      <c r="D215" s="64"/>
      <c r="E215" s="65"/>
      <c r="F215" s="64"/>
      <c r="G215" s="64"/>
      <c r="H215" s="64" t="str">
        <f t="shared" si="6"/>
        <v/>
      </c>
      <c r="I215" s="65" t="str">
        <f t="shared" si="7"/>
        <v/>
      </c>
      <c r="J215" s="64"/>
    </row>
    <row r="216" spans="1:10">
      <c r="A216" s="63"/>
      <c r="B216" s="64"/>
      <c r="C216" s="64"/>
      <c r="D216" s="64"/>
      <c r="E216" s="65"/>
      <c r="F216" s="64"/>
      <c r="G216" s="64"/>
      <c r="H216" s="64" t="str">
        <f t="shared" si="6"/>
        <v/>
      </c>
      <c r="I216" s="65" t="str">
        <f t="shared" si="7"/>
        <v/>
      </c>
      <c r="J216" s="64"/>
    </row>
    <row r="217" spans="1:10">
      <c r="A217" s="63"/>
      <c r="B217" s="64"/>
      <c r="C217" s="64"/>
      <c r="D217" s="64"/>
      <c r="E217" s="65"/>
      <c r="F217" s="64"/>
      <c r="G217" s="64"/>
      <c r="H217" s="64" t="str">
        <f t="shared" si="6"/>
        <v/>
      </c>
      <c r="I217" s="65" t="str">
        <f t="shared" si="7"/>
        <v/>
      </c>
      <c r="J217" s="64"/>
    </row>
    <row r="218" spans="1:10">
      <c r="A218" s="63"/>
      <c r="B218" s="64"/>
      <c r="C218" s="64"/>
      <c r="D218" s="64"/>
      <c r="E218" s="65"/>
      <c r="F218" s="64"/>
      <c r="G218" s="64"/>
      <c r="H218" s="64" t="str">
        <f t="shared" si="6"/>
        <v/>
      </c>
      <c r="I218" s="65" t="str">
        <f t="shared" si="7"/>
        <v/>
      </c>
      <c r="J218" s="64"/>
    </row>
    <row r="219" spans="1:10">
      <c r="A219" s="63"/>
      <c r="B219" s="64"/>
      <c r="C219" s="64"/>
      <c r="D219" s="64"/>
      <c r="E219" s="65"/>
      <c r="F219" s="64"/>
      <c r="G219" s="64"/>
      <c r="H219" s="64" t="str">
        <f t="shared" si="6"/>
        <v/>
      </c>
      <c r="I219" s="65" t="str">
        <f t="shared" si="7"/>
        <v/>
      </c>
      <c r="J219" s="64"/>
    </row>
    <row r="220" spans="1:10">
      <c r="A220" s="63"/>
      <c r="B220" s="64"/>
      <c r="C220" s="64"/>
      <c r="D220" s="64"/>
      <c r="E220" s="65"/>
      <c r="F220" s="64"/>
      <c r="G220" s="64"/>
      <c r="H220" s="64" t="str">
        <f t="shared" si="6"/>
        <v/>
      </c>
      <c r="I220" s="65" t="str">
        <f t="shared" si="7"/>
        <v/>
      </c>
      <c r="J220" s="64"/>
    </row>
    <row r="221" spans="1:10">
      <c r="A221" s="63"/>
      <c r="B221" s="64"/>
      <c r="C221" s="64"/>
      <c r="D221" s="64"/>
      <c r="E221" s="65"/>
      <c r="F221" s="64"/>
      <c r="G221" s="64"/>
      <c r="H221" s="64" t="str">
        <f t="shared" si="6"/>
        <v/>
      </c>
      <c r="I221" s="65" t="str">
        <f t="shared" si="7"/>
        <v/>
      </c>
      <c r="J221" s="64"/>
    </row>
    <row r="222" spans="1:10">
      <c r="A222" s="63"/>
      <c r="B222" s="64"/>
      <c r="C222" s="64"/>
      <c r="D222" s="64"/>
      <c r="E222" s="65"/>
      <c r="F222" s="64"/>
      <c r="G222" s="64"/>
      <c r="H222" s="64" t="str">
        <f t="shared" si="6"/>
        <v/>
      </c>
      <c r="I222" s="65" t="str">
        <f t="shared" si="7"/>
        <v/>
      </c>
      <c r="J222" s="64"/>
    </row>
    <row r="223" spans="1:10">
      <c r="A223" s="63"/>
      <c r="B223" s="64"/>
      <c r="C223" s="64"/>
      <c r="D223" s="64"/>
      <c r="E223" s="65"/>
      <c r="F223" s="64"/>
      <c r="G223" s="64"/>
      <c r="H223" s="64" t="str">
        <f t="shared" si="6"/>
        <v/>
      </c>
      <c r="I223" s="65" t="str">
        <f t="shared" si="7"/>
        <v/>
      </c>
      <c r="J223" s="64"/>
    </row>
    <row r="224" spans="1:10">
      <c r="A224" s="63"/>
      <c r="B224" s="64"/>
      <c r="C224" s="64"/>
      <c r="D224" s="64"/>
      <c r="E224" s="65"/>
      <c r="F224" s="64"/>
      <c r="G224" s="64"/>
      <c r="H224" s="64" t="str">
        <f t="shared" si="6"/>
        <v/>
      </c>
      <c r="I224" s="65" t="str">
        <f t="shared" si="7"/>
        <v/>
      </c>
      <c r="J224" s="64"/>
    </row>
    <row r="225" spans="1:10">
      <c r="A225" s="63"/>
      <c r="B225" s="64"/>
      <c r="C225" s="64"/>
      <c r="D225" s="64"/>
      <c r="E225" s="65"/>
      <c r="F225" s="64"/>
      <c r="G225" s="64"/>
      <c r="H225" s="64" t="str">
        <f t="shared" si="6"/>
        <v/>
      </c>
      <c r="I225" s="65" t="str">
        <f t="shared" si="7"/>
        <v/>
      </c>
      <c r="J225" s="64"/>
    </row>
    <row r="226" spans="1:10">
      <c r="A226" s="63"/>
      <c r="B226" s="64"/>
      <c r="C226" s="64"/>
      <c r="D226" s="64"/>
      <c r="E226" s="65"/>
      <c r="F226" s="64"/>
      <c r="G226" s="64"/>
      <c r="H226" s="64" t="str">
        <f t="shared" si="6"/>
        <v/>
      </c>
      <c r="I226" s="65" t="str">
        <f t="shared" si="7"/>
        <v/>
      </c>
      <c r="J226" s="64"/>
    </row>
    <row r="227" spans="1:10">
      <c r="A227" s="63"/>
      <c r="B227" s="64"/>
      <c r="C227" s="64"/>
      <c r="D227" s="64"/>
      <c r="E227" s="65"/>
      <c r="F227" s="64"/>
      <c r="G227" s="64"/>
      <c r="H227" s="64" t="str">
        <f t="shared" si="6"/>
        <v/>
      </c>
      <c r="I227" s="65" t="str">
        <f t="shared" si="7"/>
        <v/>
      </c>
      <c r="J227" s="64"/>
    </row>
    <row r="228" spans="1:10">
      <c r="A228" s="63"/>
      <c r="B228" s="64"/>
      <c r="C228" s="64"/>
      <c r="D228" s="64"/>
      <c r="E228" s="65"/>
      <c r="F228" s="64"/>
      <c r="G228" s="64"/>
      <c r="H228" s="64" t="str">
        <f t="shared" si="6"/>
        <v/>
      </c>
      <c r="I228" s="65" t="str">
        <f t="shared" si="7"/>
        <v/>
      </c>
      <c r="J228" s="64"/>
    </row>
    <row r="229" spans="1:10">
      <c r="A229" s="63"/>
      <c r="B229" s="64"/>
      <c r="C229" s="64"/>
      <c r="D229" s="64"/>
      <c r="E229" s="65"/>
      <c r="F229" s="64"/>
      <c r="G229" s="64"/>
      <c r="H229" s="64" t="str">
        <f t="shared" si="6"/>
        <v/>
      </c>
      <c r="I229" s="65" t="str">
        <f t="shared" si="7"/>
        <v/>
      </c>
      <c r="J229" s="64"/>
    </row>
    <row r="230" spans="1:10">
      <c r="A230" s="63"/>
      <c r="B230" s="64"/>
      <c r="C230" s="64"/>
      <c r="D230" s="64"/>
      <c r="E230" s="65"/>
      <c r="F230" s="64"/>
      <c r="G230" s="64"/>
      <c r="H230" s="64" t="str">
        <f t="shared" si="6"/>
        <v/>
      </c>
      <c r="I230" s="65" t="str">
        <f t="shared" si="7"/>
        <v/>
      </c>
      <c r="J230" s="64"/>
    </row>
    <row r="231" spans="1:10">
      <c r="A231" s="63"/>
      <c r="B231" s="64"/>
      <c r="C231" s="64"/>
      <c r="D231" s="64"/>
      <c r="E231" s="65"/>
      <c r="F231" s="64"/>
      <c r="G231" s="64"/>
      <c r="H231" s="64" t="str">
        <f t="shared" si="6"/>
        <v/>
      </c>
      <c r="I231" s="65" t="str">
        <f t="shared" si="7"/>
        <v/>
      </c>
      <c r="J231" s="64"/>
    </row>
    <row r="232" spans="1:10">
      <c r="A232" s="63"/>
      <c r="B232" s="64"/>
      <c r="C232" s="64"/>
      <c r="D232" s="64"/>
      <c r="E232" s="65"/>
      <c r="F232" s="64"/>
      <c r="G232" s="64"/>
      <c r="H232" s="64" t="str">
        <f t="shared" si="6"/>
        <v/>
      </c>
      <c r="I232" s="65" t="str">
        <f t="shared" si="7"/>
        <v/>
      </c>
      <c r="J232" s="64"/>
    </row>
    <row r="233" spans="1:10">
      <c r="A233" s="63"/>
      <c r="B233" s="64"/>
      <c r="C233" s="64"/>
      <c r="D233" s="64"/>
      <c r="E233" s="65"/>
      <c r="F233" s="64"/>
      <c r="G233" s="64"/>
      <c r="H233" s="64" t="str">
        <f t="shared" si="6"/>
        <v/>
      </c>
      <c r="I233" s="65" t="str">
        <f t="shared" si="7"/>
        <v/>
      </c>
      <c r="J233" s="64"/>
    </row>
    <row r="234" spans="1:10">
      <c r="A234" s="63"/>
      <c r="B234" s="64"/>
      <c r="C234" s="64"/>
      <c r="D234" s="64"/>
      <c r="E234" s="65"/>
      <c r="F234" s="64"/>
      <c r="G234" s="64"/>
      <c r="H234" s="64" t="str">
        <f t="shared" si="6"/>
        <v/>
      </c>
      <c r="I234" s="65" t="str">
        <f t="shared" si="7"/>
        <v/>
      </c>
      <c r="J234" s="64"/>
    </row>
    <row r="235" spans="1:10">
      <c r="A235" s="63"/>
      <c r="B235" s="64"/>
      <c r="C235" s="64"/>
      <c r="D235" s="64"/>
      <c r="E235" s="65"/>
      <c r="F235" s="64"/>
      <c r="G235" s="64"/>
      <c r="H235" s="64" t="str">
        <f t="shared" si="6"/>
        <v/>
      </c>
      <c r="I235" s="65" t="str">
        <f t="shared" si="7"/>
        <v/>
      </c>
      <c r="J235" s="64"/>
    </row>
    <row r="236" spans="1:10">
      <c r="A236" s="63"/>
      <c r="B236" s="64"/>
      <c r="C236" s="64"/>
      <c r="D236" s="64"/>
      <c r="E236" s="65"/>
      <c r="F236" s="64"/>
      <c r="G236" s="64"/>
      <c r="H236" s="64" t="str">
        <f t="shared" si="6"/>
        <v/>
      </c>
      <c r="I236" s="65" t="str">
        <f t="shared" si="7"/>
        <v/>
      </c>
      <c r="J236" s="64"/>
    </row>
    <row r="237" spans="1:10">
      <c r="A237" s="63"/>
      <c r="B237" s="64"/>
      <c r="C237" s="64"/>
      <c r="D237" s="64"/>
      <c r="E237" s="65"/>
      <c r="F237" s="64"/>
      <c r="G237" s="64"/>
      <c r="H237" s="64" t="str">
        <f t="shared" si="6"/>
        <v/>
      </c>
      <c r="I237" s="65" t="str">
        <f t="shared" si="7"/>
        <v/>
      </c>
      <c r="J237" s="64"/>
    </row>
    <row r="238" spans="1:10">
      <c r="A238" s="63"/>
      <c r="B238" s="64"/>
      <c r="C238" s="64"/>
      <c r="D238" s="64"/>
      <c r="E238" s="65"/>
      <c r="F238" s="64"/>
      <c r="G238" s="64"/>
      <c r="H238" s="64" t="str">
        <f t="shared" si="6"/>
        <v/>
      </c>
      <c r="I238" s="65" t="str">
        <f t="shared" si="7"/>
        <v/>
      </c>
      <c r="J238" s="64"/>
    </row>
    <row r="239" spans="1:10">
      <c r="A239" s="63"/>
      <c r="B239" s="64"/>
      <c r="C239" s="64"/>
      <c r="D239" s="64"/>
      <c r="E239" s="65"/>
      <c r="F239" s="64"/>
      <c r="G239" s="64"/>
      <c r="H239" s="64" t="str">
        <f t="shared" si="6"/>
        <v/>
      </c>
      <c r="I239" s="65" t="str">
        <f t="shared" si="7"/>
        <v/>
      </c>
      <c r="J239" s="64"/>
    </row>
    <row r="240" spans="1:10">
      <c r="A240" s="63"/>
      <c r="B240" s="64"/>
      <c r="C240" s="64"/>
      <c r="D240" s="64"/>
      <c r="E240" s="65"/>
      <c r="F240" s="64"/>
      <c r="G240" s="64"/>
      <c r="H240" s="64" t="str">
        <f t="shared" si="6"/>
        <v/>
      </c>
      <c r="I240" s="65" t="str">
        <f t="shared" si="7"/>
        <v/>
      </c>
      <c r="J240" s="64"/>
    </row>
    <row r="241" spans="1:10">
      <c r="A241" s="63"/>
      <c r="B241" s="64"/>
      <c r="C241" s="64"/>
      <c r="D241" s="64"/>
      <c r="E241" s="65"/>
      <c r="F241" s="64"/>
      <c r="G241" s="64"/>
      <c r="H241" s="64" t="str">
        <f t="shared" si="6"/>
        <v/>
      </c>
      <c r="I241" s="65" t="str">
        <f t="shared" si="7"/>
        <v/>
      </c>
      <c r="J241" s="64"/>
    </row>
    <row r="242" spans="1:10">
      <c r="A242" s="63"/>
      <c r="B242" s="64"/>
      <c r="C242" s="64"/>
      <c r="D242" s="64"/>
      <c r="E242" s="65"/>
      <c r="F242" s="64"/>
      <c r="G242" s="64"/>
      <c r="H242" s="64" t="str">
        <f t="shared" si="6"/>
        <v/>
      </c>
      <c r="I242" s="65" t="str">
        <f t="shared" si="7"/>
        <v/>
      </c>
      <c r="J242" s="64"/>
    </row>
    <row r="243" spans="1:10">
      <c r="A243" s="63"/>
      <c r="B243" s="64"/>
      <c r="C243" s="64"/>
      <c r="D243" s="64"/>
      <c r="E243" s="65"/>
      <c r="F243" s="64"/>
      <c r="G243" s="64"/>
      <c r="H243" s="64" t="str">
        <f t="shared" si="6"/>
        <v/>
      </c>
      <c r="I243" s="65" t="str">
        <f t="shared" si="7"/>
        <v/>
      </c>
      <c r="J243" s="64"/>
    </row>
    <row r="244" spans="1:10">
      <c r="A244" s="63"/>
      <c r="B244" s="64"/>
      <c r="C244" s="64"/>
      <c r="D244" s="64"/>
      <c r="E244" s="65"/>
      <c r="F244" s="64"/>
      <c r="G244" s="64"/>
      <c r="H244" s="64" t="str">
        <f t="shared" si="6"/>
        <v/>
      </c>
      <c r="I244" s="65" t="str">
        <f t="shared" si="7"/>
        <v/>
      </c>
      <c r="J244" s="64"/>
    </row>
    <row r="245" spans="1:10">
      <c r="A245" s="63"/>
      <c r="B245" s="64"/>
      <c r="C245" s="64"/>
      <c r="D245" s="64"/>
      <c r="E245" s="65"/>
      <c r="F245" s="64"/>
      <c r="G245" s="64"/>
      <c r="H245" s="64" t="str">
        <f t="shared" si="6"/>
        <v/>
      </c>
      <c r="I245" s="65" t="str">
        <f t="shared" si="7"/>
        <v/>
      </c>
      <c r="J245" s="64"/>
    </row>
    <row r="246" spans="1:10">
      <c r="A246" s="63"/>
      <c r="B246" s="64"/>
      <c r="C246" s="64"/>
      <c r="D246" s="64"/>
      <c r="E246" s="65"/>
      <c r="F246" s="64"/>
      <c r="G246" s="64"/>
      <c r="H246" s="64" t="str">
        <f t="shared" si="6"/>
        <v/>
      </c>
      <c r="I246" s="65" t="str">
        <f t="shared" si="7"/>
        <v/>
      </c>
      <c r="J246" s="64"/>
    </row>
    <row r="247" spans="1:10">
      <c r="A247" s="63"/>
      <c r="B247" s="64"/>
      <c r="C247" s="64"/>
      <c r="D247" s="64"/>
      <c r="E247" s="65"/>
      <c r="F247" s="64"/>
      <c r="G247" s="64"/>
      <c r="H247" s="64" t="str">
        <f t="shared" si="6"/>
        <v/>
      </c>
      <c r="I247" s="65" t="str">
        <f t="shared" si="7"/>
        <v/>
      </c>
      <c r="J247" s="64"/>
    </row>
    <row r="248" spans="1:10">
      <c r="A248" s="63"/>
      <c r="B248" s="64"/>
      <c r="C248" s="64"/>
      <c r="D248" s="64"/>
      <c r="E248" s="65"/>
      <c r="F248" s="64"/>
      <c r="G248" s="64"/>
      <c r="H248" s="64" t="str">
        <f t="shared" si="6"/>
        <v/>
      </c>
      <c r="I248" s="65" t="str">
        <f t="shared" si="7"/>
        <v/>
      </c>
      <c r="J248" s="64"/>
    </row>
    <row r="249" spans="1:10">
      <c r="A249" s="63"/>
      <c r="B249" s="64"/>
      <c r="C249" s="64"/>
      <c r="D249" s="64"/>
      <c r="E249" s="65"/>
      <c r="F249" s="64"/>
      <c r="G249" s="64"/>
      <c r="H249" s="64" t="str">
        <f t="shared" si="6"/>
        <v/>
      </c>
      <c r="I249" s="65" t="str">
        <f t="shared" si="7"/>
        <v/>
      </c>
      <c r="J249" s="64"/>
    </row>
    <row r="250" spans="1:10">
      <c r="A250" s="63"/>
      <c r="B250" s="64"/>
      <c r="C250" s="64"/>
      <c r="D250" s="64"/>
      <c r="E250" s="65"/>
      <c r="F250" s="64"/>
      <c r="G250" s="64"/>
      <c r="H250" s="64" t="str">
        <f t="shared" si="6"/>
        <v/>
      </c>
      <c r="I250" s="65" t="str">
        <f t="shared" si="7"/>
        <v/>
      </c>
      <c r="J250" s="64"/>
    </row>
    <row r="251" spans="1:10">
      <c r="A251" s="63"/>
      <c r="B251" s="64"/>
      <c r="C251" s="64"/>
      <c r="D251" s="64"/>
      <c r="E251" s="65"/>
      <c r="F251" s="64"/>
      <c r="G251" s="64"/>
      <c r="H251" s="64" t="str">
        <f t="shared" si="6"/>
        <v/>
      </c>
      <c r="I251" s="65" t="str">
        <f t="shared" si="7"/>
        <v/>
      </c>
      <c r="J251" s="64"/>
    </row>
    <row r="252" spans="1:10">
      <c r="A252" s="63"/>
      <c r="B252" s="64"/>
      <c r="C252" s="64"/>
      <c r="D252" s="64"/>
      <c r="E252" s="65"/>
      <c r="F252" s="64"/>
      <c r="G252" s="64"/>
      <c r="H252" s="64" t="str">
        <f t="shared" si="6"/>
        <v/>
      </c>
      <c r="I252" s="65" t="str">
        <f t="shared" si="7"/>
        <v/>
      </c>
      <c r="J252" s="64"/>
    </row>
    <row r="253" spans="1:10">
      <c r="A253" s="63"/>
      <c r="B253" s="64"/>
      <c r="C253" s="64"/>
      <c r="D253" s="64"/>
      <c r="E253" s="65"/>
      <c r="F253" s="64"/>
      <c r="G253" s="64"/>
      <c r="H253" s="64" t="str">
        <f t="shared" si="6"/>
        <v/>
      </c>
      <c r="I253" s="65" t="str">
        <f t="shared" si="7"/>
        <v/>
      </c>
      <c r="J253" s="64"/>
    </row>
    <row r="254" spans="1:10">
      <c r="A254" s="63"/>
      <c r="B254" s="64"/>
      <c r="C254" s="64"/>
      <c r="D254" s="64"/>
      <c r="E254" s="65"/>
      <c r="F254" s="64"/>
      <c r="G254" s="64"/>
      <c r="H254" s="64" t="str">
        <f t="shared" si="6"/>
        <v/>
      </c>
      <c r="I254" s="65" t="str">
        <f t="shared" si="7"/>
        <v/>
      </c>
      <c r="J254" s="64"/>
    </row>
    <row r="255" spans="1:10">
      <c r="A255" s="63"/>
      <c r="B255" s="64"/>
      <c r="C255" s="64"/>
      <c r="D255" s="64"/>
      <c r="E255" s="65"/>
      <c r="F255" s="64"/>
      <c r="G255" s="64"/>
      <c r="H255" s="64" t="str">
        <f t="shared" si="6"/>
        <v/>
      </c>
      <c r="I255" s="65" t="str">
        <f t="shared" si="7"/>
        <v/>
      </c>
      <c r="J255" s="64"/>
    </row>
    <row r="256" spans="1:10">
      <c r="A256" s="63"/>
      <c r="B256" s="64"/>
      <c r="C256" s="64"/>
      <c r="D256" s="64"/>
      <c r="E256" s="65"/>
      <c r="F256" s="64"/>
      <c r="G256" s="64"/>
      <c r="H256" s="64" t="str">
        <f t="shared" si="6"/>
        <v/>
      </c>
      <c r="I256" s="65" t="str">
        <f t="shared" si="7"/>
        <v/>
      </c>
      <c r="J256" s="64"/>
    </row>
    <row r="257" spans="1:10">
      <c r="A257" s="63"/>
      <c r="B257" s="64"/>
      <c r="C257" s="64"/>
      <c r="D257" s="64"/>
      <c r="E257" s="65"/>
      <c r="F257" s="64"/>
      <c r="G257" s="64"/>
      <c r="H257" s="64" t="str">
        <f t="shared" si="6"/>
        <v/>
      </c>
      <c r="I257" s="65" t="str">
        <f t="shared" si="7"/>
        <v/>
      </c>
      <c r="J257" s="64"/>
    </row>
    <row r="258" spans="1:10">
      <c r="A258" s="63"/>
      <c r="B258" s="64"/>
      <c r="C258" s="64"/>
      <c r="D258" s="64"/>
      <c r="E258" s="65"/>
      <c r="F258" s="64"/>
      <c r="G258" s="64"/>
      <c r="H258" s="64" t="str">
        <f t="shared" si="6"/>
        <v/>
      </c>
      <c r="I258" s="65" t="str">
        <f t="shared" si="7"/>
        <v/>
      </c>
      <c r="J258" s="64"/>
    </row>
    <row r="259" spans="1:10">
      <c r="A259" s="63"/>
      <c r="B259" s="64"/>
      <c r="C259" s="64"/>
      <c r="D259" s="64"/>
      <c r="E259" s="65"/>
      <c r="F259" s="64"/>
      <c r="G259" s="64"/>
      <c r="H259" s="64" t="str">
        <f t="shared" si="6"/>
        <v/>
      </c>
      <c r="I259" s="65" t="str">
        <f t="shared" si="7"/>
        <v/>
      </c>
      <c r="J259" s="64"/>
    </row>
    <row r="260" spans="1:10">
      <c r="A260" s="63"/>
      <c r="B260" s="64"/>
      <c r="C260" s="64"/>
      <c r="D260" s="64"/>
      <c r="E260" s="65"/>
      <c r="F260" s="64"/>
      <c r="G260" s="64"/>
      <c r="H260" s="64" t="str">
        <f t="shared" si="6"/>
        <v/>
      </c>
      <c r="I260" s="65" t="str">
        <f t="shared" si="7"/>
        <v/>
      </c>
      <c r="J260" s="64"/>
    </row>
    <row r="261" spans="1:10">
      <c r="A261" s="63"/>
      <c r="B261" s="64"/>
      <c r="C261" s="64"/>
      <c r="D261" s="64"/>
      <c r="E261" s="65"/>
      <c r="F261" s="64"/>
      <c r="G261" s="64"/>
      <c r="H261" s="64" t="str">
        <f t="shared" si="6"/>
        <v/>
      </c>
      <c r="I261" s="65" t="str">
        <f t="shared" si="7"/>
        <v/>
      </c>
      <c r="J261" s="64"/>
    </row>
    <row r="262" spans="1:10">
      <c r="A262" s="63"/>
      <c r="B262" s="64"/>
      <c r="C262" s="64"/>
      <c r="D262" s="64"/>
      <c r="E262" s="65"/>
      <c r="F262" s="64"/>
      <c r="G262" s="64"/>
      <c r="H262" s="64" t="str">
        <f t="shared" si="6"/>
        <v/>
      </c>
      <c r="I262" s="65" t="str">
        <f t="shared" si="7"/>
        <v/>
      </c>
      <c r="J262" s="64"/>
    </row>
    <row r="263" spans="1:10">
      <c r="A263" s="63"/>
      <c r="B263" s="64"/>
      <c r="C263" s="64"/>
      <c r="D263" s="64"/>
      <c r="E263" s="65"/>
      <c r="F263" s="64"/>
      <c r="G263" s="64"/>
      <c r="H263" s="64" t="str">
        <f t="shared" si="6"/>
        <v/>
      </c>
      <c r="I263" s="65" t="str">
        <f t="shared" si="7"/>
        <v/>
      </c>
      <c r="J263" s="64"/>
    </row>
    <row r="264" spans="1:10">
      <c r="A264" s="63"/>
      <c r="B264" s="64"/>
      <c r="C264" s="64"/>
      <c r="D264" s="64"/>
      <c r="E264" s="65"/>
      <c r="F264" s="64"/>
      <c r="G264" s="64"/>
      <c r="H264" s="64" t="str">
        <f t="shared" si="6"/>
        <v/>
      </c>
      <c r="I264" s="65" t="str">
        <f t="shared" si="7"/>
        <v/>
      </c>
      <c r="J264" s="64"/>
    </row>
    <row r="265" spans="1:10">
      <c r="A265" s="63"/>
      <c r="B265" s="64"/>
      <c r="C265" s="64"/>
      <c r="D265" s="64"/>
      <c r="E265" s="65"/>
      <c r="F265" s="64"/>
      <c r="G265" s="64"/>
      <c r="H265" s="64" t="str">
        <f t="shared" si="6"/>
        <v/>
      </c>
      <c r="I265" s="65" t="str">
        <f t="shared" si="7"/>
        <v/>
      </c>
      <c r="J265" s="64"/>
    </row>
    <row r="266" spans="1:10">
      <c r="A266" s="63"/>
      <c r="B266" s="64"/>
      <c r="C266" s="64"/>
      <c r="D266" s="64"/>
      <c r="E266" s="65"/>
      <c r="F266" s="64"/>
      <c r="G266" s="64"/>
      <c r="H266" s="64" t="str">
        <f t="shared" si="6"/>
        <v/>
      </c>
      <c r="I266" s="65" t="str">
        <f t="shared" si="7"/>
        <v/>
      </c>
      <c r="J266" s="64"/>
    </row>
    <row r="267" spans="1:10">
      <c r="A267" s="63"/>
      <c r="B267" s="64"/>
      <c r="C267" s="64"/>
      <c r="D267" s="64"/>
      <c r="E267" s="65"/>
      <c r="F267" s="64"/>
      <c r="G267" s="64"/>
      <c r="H267" s="64" t="str">
        <f t="shared" ref="H267:H330" si="8">IF(A267="","",TEXT(A267,"mmm-yyyy"))</f>
        <v/>
      </c>
      <c r="I267" s="65" t="str">
        <f t="shared" ref="I267:I330" si="9">IF(OR(B267="",E267=""),"",IF(B267="Ingreso",E267,-E267))</f>
        <v/>
      </c>
      <c r="J267" s="64"/>
    </row>
    <row r="268" spans="1:10">
      <c r="A268" s="63"/>
      <c r="B268" s="64"/>
      <c r="C268" s="64"/>
      <c r="D268" s="64"/>
      <c r="E268" s="65"/>
      <c r="F268" s="64"/>
      <c r="G268" s="64"/>
      <c r="H268" s="64" t="str">
        <f t="shared" si="8"/>
        <v/>
      </c>
      <c r="I268" s="65" t="str">
        <f t="shared" si="9"/>
        <v/>
      </c>
      <c r="J268" s="64"/>
    </row>
    <row r="269" spans="1:10">
      <c r="A269" s="63"/>
      <c r="B269" s="64"/>
      <c r="C269" s="64"/>
      <c r="D269" s="64"/>
      <c r="E269" s="65"/>
      <c r="F269" s="64"/>
      <c r="G269" s="64"/>
      <c r="H269" s="64" t="str">
        <f t="shared" si="8"/>
        <v/>
      </c>
      <c r="I269" s="65" t="str">
        <f t="shared" si="9"/>
        <v/>
      </c>
      <c r="J269" s="64"/>
    </row>
    <row r="270" spans="1:10">
      <c r="A270" s="63"/>
      <c r="B270" s="64"/>
      <c r="C270" s="64"/>
      <c r="D270" s="64"/>
      <c r="E270" s="65"/>
      <c r="F270" s="64"/>
      <c r="G270" s="64"/>
      <c r="H270" s="64" t="str">
        <f t="shared" si="8"/>
        <v/>
      </c>
      <c r="I270" s="65" t="str">
        <f t="shared" si="9"/>
        <v/>
      </c>
      <c r="J270" s="64"/>
    </row>
    <row r="271" spans="1:10">
      <c r="A271" s="63"/>
      <c r="B271" s="64"/>
      <c r="C271" s="64"/>
      <c r="D271" s="64"/>
      <c r="E271" s="65"/>
      <c r="F271" s="64"/>
      <c r="G271" s="64"/>
      <c r="H271" s="64" t="str">
        <f t="shared" si="8"/>
        <v/>
      </c>
      <c r="I271" s="65" t="str">
        <f t="shared" si="9"/>
        <v/>
      </c>
      <c r="J271" s="64"/>
    </row>
    <row r="272" spans="1:10">
      <c r="A272" s="63"/>
      <c r="B272" s="64"/>
      <c r="C272" s="64"/>
      <c r="D272" s="64"/>
      <c r="E272" s="65"/>
      <c r="F272" s="64"/>
      <c r="G272" s="64"/>
      <c r="H272" s="64" t="str">
        <f t="shared" si="8"/>
        <v/>
      </c>
      <c r="I272" s="65" t="str">
        <f t="shared" si="9"/>
        <v/>
      </c>
      <c r="J272" s="64"/>
    </row>
    <row r="273" spans="1:10">
      <c r="A273" s="63"/>
      <c r="B273" s="64"/>
      <c r="C273" s="64"/>
      <c r="D273" s="64"/>
      <c r="E273" s="65"/>
      <c r="F273" s="64"/>
      <c r="G273" s="64"/>
      <c r="H273" s="64" t="str">
        <f t="shared" si="8"/>
        <v/>
      </c>
      <c r="I273" s="65" t="str">
        <f t="shared" si="9"/>
        <v/>
      </c>
      <c r="J273" s="64"/>
    </row>
    <row r="274" spans="1:10">
      <c r="A274" s="63"/>
      <c r="B274" s="64"/>
      <c r="C274" s="64"/>
      <c r="D274" s="64"/>
      <c r="E274" s="65"/>
      <c r="F274" s="64"/>
      <c r="G274" s="64"/>
      <c r="H274" s="64" t="str">
        <f t="shared" si="8"/>
        <v/>
      </c>
      <c r="I274" s="65" t="str">
        <f t="shared" si="9"/>
        <v/>
      </c>
      <c r="J274" s="64"/>
    </row>
    <row r="275" spans="1:10">
      <c r="A275" s="63"/>
      <c r="B275" s="64"/>
      <c r="C275" s="64"/>
      <c r="D275" s="64"/>
      <c r="E275" s="65"/>
      <c r="F275" s="64"/>
      <c r="G275" s="64"/>
      <c r="H275" s="64" t="str">
        <f t="shared" si="8"/>
        <v/>
      </c>
      <c r="I275" s="65" t="str">
        <f t="shared" si="9"/>
        <v/>
      </c>
      <c r="J275" s="64"/>
    </row>
    <row r="276" spans="1:10">
      <c r="A276" s="63"/>
      <c r="B276" s="64"/>
      <c r="C276" s="64"/>
      <c r="D276" s="64"/>
      <c r="E276" s="65"/>
      <c r="F276" s="64"/>
      <c r="G276" s="64"/>
      <c r="H276" s="64" t="str">
        <f t="shared" si="8"/>
        <v/>
      </c>
      <c r="I276" s="65" t="str">
        <f t="shared" si="9"/>
        <v/>
      </c>
      <c r="J276" s="64"/>
    </row>
    <row r="277" spans="1:10">
      <c r="A277" s="63"/>
      <c r="B277" s="64"/>
      <c r="C277" s="64"/>
      <c r="D277" s="64"/>
      <c r="E277" s="65"/>
      <c r="F277" s="64"/>
      <c r="G277" s="64"/>
      <c r="H277" s="64" t="str">
        <f t="shared" si="8"/>
        <v/>
      </c>
      <c r="I277" s="65" t="str">
        <f t="shared" si="9"/>
        <v/>
      </c>
      <c r="J277" s="64"/>
    </row>
    <row r="278" spans="1:10">
      <c r="A278" s="63"/>
      <c r="B278" s="64"/>
      <c r="C278" s="64"/>
      <c r="D278" s="64"/>
      <c r="E278" s="65"/>
      <c r="F278" s="64"/>
      <c r="G278" s="64"/>
      <c r="H278" s="64" t="str">
        <f t="shared" si="8"/>
        <v/>
      </c>
      <c r="I278" s="65" t="str">
        <f t="shared" si="9"/>
        <v/>
      </c>
      <c r="J278" s="64"/>
    </row>
    <row r="279" spans="1:10">
      <c r="A279" s="63"/>
      <c r="B279" s="64"/>
      <c r="C279" s="64"/>
      <c r="D279" s="64"/>
      <c r="E279" s="65"/>
      <c r="F279" s="64"/>
      <c r="G279" s="64"/>
      <c r="H279" s="64" t="str">
        <f t="shared" si="8"/>
        <v/>
      </c>
      <c r="I279" s="65" t="str">
        <f t="shared" si="9"/>
        <v/>
      </c>
      <c r="J279" s="64"/>
    </row>
    <row r="280" spans="1:10">
      <c r="A280" s="63"/>
      <c r="B280" s="64"/>
      <c r="C280" s="64"/>
      <c r="D280" s="64"/>
      <c r="E280" s="65"/>
      <c r="F280" s="64"/>
      <c r="G280" s="64"/>
      <c r="H280" s="64" t="str">
        <f t="shared" si="8"/>
        <v/>
      </c>
      <c r="I280" s="65" t="str">
        <f t="shared" si="9"/>
        <v/>
      </c>
      <c r="J280" s="64"/>
    </row>
    <row r="281" spans="1:10">
      <c r="A281" s="63"/>
      <c r="B281" s="64"/>
      <c r="C281" s="64"/>
      <c r="D281" s="64"/>
      <c r="E281" s="65"/>
      <c r="F281" s="64"/>
      <c r="G281" s="64"/>
      <c r="H281" s="64" t="str">
        <f t="shared" si="8"/>
        <v/>
      </c>
      <c r="I281" s="65" t="str">
        <f t="shared" si="9"/>
        <v/>
      </c>
      <c r="J281" s="64"/>
    </row>
    <row r="282" spans="1:10">
      <c r="A282" s="63"/>
      <c r="B282" s="64"/>
      <c r="C282" s="64"/>
      <c r="D282" s="64"/>
      <c r="E282" s="65"/>
      <c r="F282" s="64"/>
      <c r="G282" s="64"/>
      <c r="H282" s="64" t="str">
        <f t="shared" si="8"/>
        <v/>
      </c>
      <c r="I282" s="65" t="str">
        <f t="shared" si="9"/>
        <v/>
      </c>
      <c r="J282" s="64"/>
    </row>
    <row r="283" spans="1:10">
      <c r="A283" s="63"/>
      <c r="B283" s="64"/>
      <c r="C283" s="64"/>
      <c r="D283" s="64"/>
      <c r="E283" s="65"/>
      <c r="F283" s="64"/>
      <c r="G283" s="64"/>
      <c r="H283" s="64" t="str">
        <f t="shared" si="8"/>
        <v/>
      </c>
      <c r="I283" s="65" t="str">
        <f t="shared" si="9"/>
        <v/>
      </c>
      <c r="J283" s="64"/>
    </row>
    <row r="284" spans="1:10">
      <c r="A284" s="63"/>
      <c r="B284" s="64"/>
      <c r="C284" s="64"/>
      <c r="D284" s="64"/>
      <c r="E284" s="65"/>
      <c r="F284" s="64"/>
      <c r="G284" s="64"/>
      <c r="H284" s="64" t="str">
        <f t="shared" si="8"/>
        <v/>
      </c>
      <c r="I284" s="65" t="str">
        <f t="shared" si="9"/>
        <v/>
      </c>
      <c r="J284" s="64"/>
    </row>
    <row r="285" spans="1:10">
      <c r="A285" s="63"/>
      <c r="B285" s="64"/>
      <c r="C285" s="64"/>
      <c r="D285" s="64"/>
      <c r="E285" s="65"/>
      <c r="F285" s="64"/>
      <c r="G285" s="64"/>
      <c r="H285" s="64" t="str">
        <f t="shared" si="8"/>
        <v/>
      </c>
      <c r="I285" s="65" t="str">
        <f t="shared" si="9"/>
        <v/>
      </c>
      <c r="J285" s="64"/>
    </row>
    <row r="286" spans="1:10">
      <c r="A286" s="63"/>
      <c r="B286" s="64"/>
      <c r="C286" s="64"/>
      <c r="D286" s="64"/>
      <c r="E286" s="65"/>
      <c r="F286" s="64"/>
      <c r="G286" s="64"/>
      <c r="H286" s="64" t="str">
        <f t="shared" si="8"/>
        <v/>
      </c>
      <c r="I286" s="65" t="str">
        <f t="shared" si="9"/>
        <v/>
      </c>
      <c r="J286" s="64"/>
    </row>
    <row r="287" spans="1:10">
      <c r="A287" s="63"/>
      <c r="B287" s="64"/>
      <c r="C287" s="64"/>
      <c r="D287" s="64"/>
      <c r="E287" s="65"/>
      <c r="F287" s="64"/>
      <c r="G287" s="64"/>
      <c r="H287" s="64" t="str">
        <f t="shared" si="8"/>
        <v/>
      </c>
      <c r="I287" s="65" t="str">
        <f t="shared" si="9"/>
        <v/>
      </c>
      <c r="J287" s="64"/>
    </row>
    <row r="288" spans="1:10">
      <c r="A288" s="63"/>
      <c r="B288" s="64"/>
      <c r="C288" s="64"/>
      <c r="D288" s="64"/>
      <c r="E288" s="65"/>
      <c r="F288" s="64"/>
      <c r="G288" s="64"/>
      <c r="H288" s="64" t="str">
        <f t="shared" si="8"/>
        <v/>
      </c>
      <c r="I288" s="65" t="str">
        <f t="shared" si="9"/>
        <v/>
      </c>
      <c r="J288" s="64"/>
    </row>
    <row r="289" spans="1:10">
      <c r="A289" s="63"/>
      <c r="B289" s="64"/>
      <c r="C289" s="64"/>
      <c r="D289" s="64"/>
      <c r="E289" s="65"/>
      <c r="F289" s="64"/>
      <c r="G289" s="64"/>
      <c r="H289" s="64" t="str">
        <f t="shared" si="8"/>
        <v/>
      </c>
      <c r="I289" s="65" t="str">
        <f t="shared" si="9"/>
        <v/>
      </c>
      <c r="J289" s="64"/>
    </row>
    <row r="290" spans="1:10">
      <c r="A290" s="63"/>
      <c r="B290" s="64"/>
      <c r="C290" s="64"/>
      <c r="D290" s="64"/>
      <c r="E290" s="65"/>
      <c r="F290" s="64"/>
      <c r="G290" s="64"/>
      <c r="H290" s="64" t="str">
        <f t="shared" si="8"/>
        <v/>
      </c>
      <c r="I290" s="65" t="str">
        <f t="shared" si="9"/>
        <v/>
      </c>
      <c r="J290" s="64"/>
    </row>
    <row r="291" spans="1:10">
      <c r="A291" s="63"/>
      <c r="B291" s="64"/>
      <c r="C291" s="64"/>
      <c r="D291" s="64"/>
      <c r="E291" s="65"/>
      <c r="F291" s="64"/>
      <c r="G291" s="64"/>
      <c r="H291" s="64" t="str">
        <f t="shared" si="8"/>
        <v/>
      </c>
      <c r="I291" s="65" t="str">
        <f t="shared" si="9"/>
        <v/>
      </c>
      <c r="J291" s="64"/>
    </row>
    <row r="292" spans="1:10">
      <c r="A292" s="63"/>
      <c r="B292" s="64"/>
      <c r="C292" s="64"/>
      <c r="D292" s="64"/>
      <c r="E292" s="65"/>
      <c r="F292" s="64"/>
      <c r="G292" s="64"/>
      <c r="H292" s="64" t="str">
        <f t="shared" si="8"/>
        <v/>
      </c>
      <c r="I292" s="65" t="str">
        <f t="shared" si="9"/>
        <v/>
      </c>
      <c r="J292" s="64"/>
    </row>
    <row r="293" spans="1:10">
      <c r="A293" s="63"/>
      <c r="B293" s="64"/>
      <c r="C293" s="64"/>
      <c r="D293" s="64"/>
      <c r="E293" s="65"/>
      <c r="F293" s="64"/>
      <c r="G293" s="64"/>
      <c r="H293" s="64" t="str">
        <f t="shared" si="8"/>
        <v/>
      </c>
      <c r="I293" s="65" t="str">
        <f t="shared" si="9"/>
        <v/>
      </c>
      <c r="J293" s="64"/>
    </row>
    <row r="294" spans="1:10">
      <c r="A294" s="63"/>
      <c r="B294" s="64"/>
      <c r="C294" s="64"/>
      <c r="D294" s="64"/>
      <c r="E294" s="65"/>
      <c r="F294" s="64"/>
      <c r="G294" s="64"/>
      <c r="H294" s="64" t="str">
        <f t="shared" si="8"/>
        <v/>
      </c>
      <c r="I294" s="65" t="str">
        <f t="shared" si="9"/>
        <v/>
      </c>
      <c r="J294" s="64"/>
    </row>
    <row r="295" spans="1:10">
      <c r="A295" s="63"/>
      <c r="B295" s="64"/>
      <c r="C295" s="64"/>
      <c r="D295" s="64"/>
      <c r="E295" s="65"/>
      <c r="F295" s="64"/>
      <c r="G295" s="64"/>
      <c r="H295" s="64" t="str">
        <f t="shared" si="8"/>
        <v/>
      </c>
      <c r="I295" s="65" t="str">
        <f t="shared" si="9"/>
        <v/>
      </c>
      <c r="J295" s="64"/>
    </row>
    <row r="296" spans="1:10">
      <c r="A296" s="63"/>
      <c r="B296" s="64"/>
      <c r="C296" s="64"/>
      <c r="D296" s="64"/>
      <c r="E296" s="65"/>
      <c r="F296" s="64"/>
      <c r="G296" s="64"/>
      <c r="H296" s="64" t="str">
        <f t="shared" si="8"/>
        <v/>
      </c>
      <c r="I296" s="65" t="str">
        <f t="shared" si="9"/>
        <v/>
      </c>
      <c r="J296" s="64"/>
    </row>
    <row r="297" spans="1:10">
      <c r="A297" s="63"/>
      <c r="B297" s="64"/>
      <c r="C297" s="64"/>
      <c r="D297" s="64"/>
      <c r="E297" s="65"/>
      <c r="F297" s="64"/>
      <c r="G297" s="64"/>
      <c r="H297" s="64" t="str">
        <f t="shared" si="8"/>
        <v/>
      </c>
      <c r="I297" s="65" t="str">
        <f t="shared" si="9"/>
        <v/>
      </c>
      <c r="J297" s="64"/>
    </row>
    <row r="298" spans="1:10">
      <c r="A298" s="63"/>
      <c r="B298" s="64"/>
      <c r="C298" s="64"/>
      <c r="D298" s="64"/>
      <c r="E298" s="65"/>
      <c r="F298" s="64"/>
      <c r="G298" s="64"/>
      <c r="H298" s="64" t="str">
        <f t="shared" si="8"/>
        <v/>
      </c>
      <c r="I298" s="65" t="str">
        <f t="shared" si="9"/>
        <v/>
      </c>
      <c r="J298" s="64"/>
    </row>
    <row r="299" spans="1:10">
      <c r="A299" s="63"/>
      <c r="B299" s="64"/>
      <c r="C299" s="64"/>
      <c r="D299" s="64"/>
      <c r="E299" s="65"/>
      <c r="F299" s="64"/>
      <c r="G299" s="64"/>
      <c r="H299" s="64" t="str">
        <f t="shared" si="8"/>
        <v/>
      </c>
      <c r="I299" s="65" t="str">
        <f t="shared" si="9"/>
        <v/>
      </c>
      <c r="J299" s="64"/>
    </row>
    <row r="300" spans="1:10">
      <c r="A300" s="63"/>
      <c r="B300" s="64"/>
      <c r="C300" s="64"/>
      <c r="D300" s="64"/>
      <c r="E300" s="65"/>
      <c r="F300" s="64"/>
      <c r="G300" s="64"/>
      <c r="H300" s="64" t="str">
        <f t="shared" si="8"/>
        <v/>
      </c>
      <c r="I300" s="65" t="str">
        <f t="shared" si="9"/>
        <v/>
      </c>
      <c r="J300" s="64"/>
    </row>
    <row r="301" spans="1:10">
      <c r="A301" s="63"/>
      <c r="B301" s="64"/>
      <c r="C301" s="64"/>
      <c r="D301" s="64"/>
      <c r="E301" s="65"/>
      <c r="F301" s="64"/>
      <c r="G301" s="64"/>
      <c r="H301" s="64" t="str">
        <f t="shared" si="8"/>
        <v/>
      </c>
      <c r="I301" s="65" t="str">
        <f t="shared" si="9"/>
        <v/>
      </c>
      <c r="J301" s="64"/>
    </row>
    <row r="302" spans="1:10">
      <c r="A302" s="63"/>
      <c r="B302" s="64"/>
      <c r="C302" s="64"/>
      <c r="D302" s="64"/>
      <c r="E302" s="65"/>
      <c r="F302" s="64"/>
      <c r="G302" s="64"/>
      <c r="H302" s="64" t="str">
        <f t="shared" si="8"/>
        <v/>
      </c>
      <c r="I302" s="65" t="str">
        <f t="shared" si="9"/>
        <v/>
      </c>
      <c r="J302" s="64"/>
    </row>
    <row r="303" spans="1:10">
      <c r="A303" s="63"/>
      <c r="B303" s="64"/>
      <c r="C303" s="64"/>
      <c r="D303" s="64"/>
      <c r="E303" s="65"/>
      <c r="F303" s="64"/>
      <c r="G303" s="64"/>
      <c r="H303" s="64" t="str">
        <f t="shared" si="8"/>
        <v/>
      </c>
      <c r="I303" s="65" t="str">
        <f t="shared" si="9"/>
        <v/>
      </c>
      <c r="J303" s="64"/>
    </row>
    <row r="304" spans="1:10">
      <c r="A304" s="63"/>
      <c r="B304" s="64"/>
      <c r="C304" s="64"/>
      <c r="D304" s="64"/>
      <c r="E304" s="65"/>
      <c r="F304" s="64"/>
      <c r="G304" s="64"/>
      <c r="H304" s="64" t="str">
        <f t="shared" si="8"/>
        <v/>
      </c>
      <c r="I304" s="65" t="str">
        <f t="shared" si="9"/>
        <v/>
      </c>
      <c r="J304" s="64"/>
    </row>
    <row r="305" spans="1:10">
      <c r="A305" s="63"/>
      <c r="B305" s="64"/>
      <c r="C305" s="64"/>
      <c r="D305" s="64"/>
      <c r="E305" s="65"/>
      <c r="F305" s="64"/>
      <c r="G305" s="64"/>
      <c r="H305" s="64" t="str">
        <f t="shared" si="8"/>
        <v/>
      </c>
      <c r="I305" s="65" t="str">
        <f t="shared" si="9"/>
        <v/>
      </c>
      <c r="J305" s="64"/>
    </row>
    <row r="306" spans="1:10">
      <c r="A306" s="63"/>
      <c r="B306" s="64"/>
      <c r="C306" s="64"/>
      <c r="D306" s="64"/>
      <c r="E306" s="65"/>
      <c r="F306" s="64"/>
      <c r="G306" s="64"/>
      <c r="H306" s="64" t="str">
        <f t="shared" si="8"/>
        <v/>
      </c>
      <c r="I306" s="65" t="str">
        <f t="shared" si="9"/>
        <v/>
      </c>
      <c r="J306" s="64"/>
    </row>
    <row r="307" spans="1:10">
      <c r="A307" s="63"/>
      <c r="B307" s="64"/>
      <c r="C307" s="64"/>
      <c r="D307" s="64"/>
      <c r="E307" s="65"/>
      <c r="F307" s="64"/>
      <c r="G307" s="64"/>
      <c r="H307" s="64" t="str">
        <f t="shared" si="8"/>
        <v/>
      </c>
      <c r="I307" s="65" t="str">
        <f t="shared" si="9"/>
        <v/>
      </c>
      <c r="J307" s="64"/>
    </row>
    <row r="308" spans="1:10">
      <c r="A308" s="63"/>
      <c r="B308" s="64"/>
      <c r="C308" s="64"/>
      <c r="D308" s="64"/>
      <c r="E308" s="65"/>
      <c r="F308" s="64"/>
      <c r="G308" s="64"/>
      <c r="H308" s="64" t="str">
        <f t="shared" si="8"/>
        <v/>
      </c>
      <c r="I308" s="65" t="str">
        <f t="shared" si="9"/>
        <v/>
      </c>
      <c r="J308" s="64"/>
    </row>
    <row r="309" spans="1:10">
      <c r="A309" s="63"/>
      <c r="B309" s="64"/>
      <c r="C309" s="64"/>
      <c r="D309" s="64"/>
      <c r="E309" s="65"/>
      <c r="F309" s="64"/>
      <c r="G309" s="64"/>
      <c r="H309" s="64" t="str">
        <f t="shared" si="8"/>
        <v/>
      </c>
      <c r="I309" s="65" t="str">
        <f t="shared" si="9"/>
        <v/>
      </c>
      <c r="J309" s="64"/>
    </row>
    <row r="310" spans="1:10">
      <c r="A310" s="63"/>
      <c r="B310" s="64"/>
      <c r="C310" s="64"/>
      <c r="D310" s="64"/>
      <c r="E310" s="65"/>
      <c r="F310" s="64"/>
      <c r="G310" s="64"/>
      <c r="H310" s="64" t="str">
        <f t="shared" si="8"/>
        <v/>
      </c>
      <c r="I310" s="65" t="str">
        <f t="shared" si="9"/>
        <v/>
      </c>
      <c r="J310" s="64"/>
    </row>
    <row r="311" spans="1:10">
      <c r="A311" s="63"/>
      <c r="B311" s="64"/>
      <c r="C311" s="64"/>
      <c r="D311" s="64"/>
      <c r="E311" s="65"/>
      <c r="F311" s="64"/>
      <c r="G311" s="64"/>
      <c r="H311" s="64" t="str">
        <f t="shared" si="8"/>
        <v/>
      </c>
      <c r="I311" s="65" t="str">
        <f t="shared" si="9"/>
        <v/>
      </c>
      <c r="J311" s="64"/>
    </row>
    <row r="312" spans="1:10">
      <c r="A312" s="63"/>
      <c r="B312" s="64"/>
      <c r="C312" s="64"/>
      <c r="D312" s="64"/>
      <c r="E312" s="65"/>
      <c r="F312" s="64"/>
      <c r="G312" s="64"/>
      <c r="H312" s="64" t="str">
        <f t="shared" si="8"/>
        <v/>
      </c>
      <c r="I312" s="65" t="str">
        <f t="shared" si="9"/>
        <v/>
      </c>
      <c r="J312" s="64"/>
    </row>
    <row r="313" spans="1:10">
      <c r="A313" s="63"/>
      <c r="B313" s="64"/>
      <c r="C313" s="64"/>
      <c r="D313" s="64"/>
      <c r="E313" s="65"/>
      <c r="F313" s="64"/>
      <c r="G313" s="64"/>
      <c r="H313" s="64" t="str">
        <f t="shared" si="8"/>
        <v/>
      </c>
      <c r="I313" s="65" t="str">
        <f t="shared" si="9"/>
        <v/>
      </c>
      <c r="J313" s="64"/>
    </row>
    <row r="314" spans="1:10">
      <c r="A314" s="63"/>
      <c r="B314" s="64"/>
      <c r="C314" s="64"/>
      <c r="D314" s="64"/>
      <c r="E314" s="65"/>
      <c r="F314" s="64"/>
      <c r="G314" s="64"/>
      <c r="H314" s="64" t="str">
        <f t="shared" si="8"/>
        <v/>
      </c>
      <c r="I314" s="65" t="str">
        <f t="shared" si="9"/>
        <v/>
      </c>
      <c r="J314" s="64"/>
    </row>
    <row r="315" spans="1:10">
      <c r="A315" s="63"/>
      <c r="B315" s="64"/>
      <c r="C315" s="64"/>
      <c r="D315" s="64"/>
      <c r="E315" s="65"/>
      <c r="F315" s="64"/>
      <c r="G315" s="64"/>
      <c r="H315" s="64" t="str">
        <f t="shared" si="8"/>
        <v/>
      </c>
      <c r="I315" s="65" t="str">
        <f t="shared" si="9"/>
        <v/>
      </c>
      <c r="J315" s="64"/>
    </row>
    <row r="316" spans="1:10">
      <c r="A316" s="63"/>
      <c r="B316" s="64"/>
      <c r="C316" s="64"/>
      <c r="D316" s="64"/>
      <c r="E316" s="65"/>
      <c r="F316" s="64"/>
      <c r="G316" s="64"/>
      <c r="H316" s="64" t="str">
        <f t="shared" si="8"/>
        <v/>
      </c>
      <c r="I316" s="65" t="str">
        <f t="shared" si="9"/>
        <v/>
      </c>
      <c r="J316" s="64"/>
    </row>
    <row r="317" spans="1:10">
      <c r="A317" s="63"/>
      <c r="B317" s="64"/>
      <c r="C317" s="64"/>
      <c r="D317" s="64"/>
      <c r="E317" s="65"/>
      <c r="F317" s="64"/>
      <c r="G317" s="64"/>
      <c r="H317" s="64" t="str">
        <f t="shared" si="8"/>
        <v/>
      </c>
      <c r="I317" s="65" t="str">
        <f t="shared" si="9"/>
        <v/>
      </c>
      <c r="J317" s="64"/>
    </row>
    <row r="318" spans="1:10">
      <c r="A318" s="63"/>
      <c r="B318" s="64"/>
      <c r="C318" s="64"/>
      <c r="D318" s="64"/>
      <c r="E318" s="65"/>
      <c r="F318" s="64"/>
      <c r="G318" s="64"/>
      <c r="H318" s="64" t="str">
        <f t="shared" si="8"/>
        <v/>
      </c>
      <c r="I318" s="65" t="str">
        <f t="shared" si="9"/>
        <v/>
      </c>
      <c r="J318" s="64"/>
    </row>
    <row r="319" spans="1:10">
      <c r="A319" s="63"/>
      <c r="B319" s="64"/>
      <c r="C319" s="64"/>
      <c r="D319" s="64"/>
      <c r="E319" s="65"/>
      <c r="F319" s="64"/>
      <c r="G319" s="64"/>
      <c r="H319" s="64" t="str">
        <f t="shared" si="8"/>
        <v/>
      </c>
      <c r="I319" s="65" t="str">
        <f t="shared" si="9"/>
        <v/>
      </c>
      <c r="J319" s="64"/>
    </row>
    <row r="320" spans="1:10">
      <c r="A320" s="63"/>
      <c r="B320" s="64"/>
      <c r="C320" s="64"/>
      <c r="D320" s="64"/>
      <c r="E320" s="65"/>
      <c r="F320" s="64"/>
      <c r="G320" s="64"/>
      <c r="H320" s="64" t="str">
        <f t="shared" si="8"/>
        <v/>
      </c>
      <c r="I320" s="65" t="str">
        <f t="shared" si="9"/>
        <v/>
      </c>
      <c r="J320" s="64"/>
    </row>
    <row r="321" spans="1:10">
      <c r="A321" s="63"/>
      <c r="B321" s="64"/>
      <c r="C321" s="64"/>
      <c r="D321" s="64"/>
      <c r="E321" s="65"/>
      <c r="F321" s="64"/>
      <c r="G321" s="64"/>
      <c r="H321" s="64" t="str">
        <f t="shared" si="8"/>
        <v/>
      </c>
      <c r="I321" s="65" t="str">
        <f t="shared" si="9"/>
        <v/>
      </c>
      <c r="J321" s="64"/>
    </row>
    <row r="322" spans="1:10">
      <c r="A322" s="63"/>
      <c r="B322" s="64"/>
      <c r="C322" s="64"/>
      <c r="D322" s="64"/>
      <c r="E322" s="65"/>
      <c r="F322" s="64"/>
      <c r="G322" s="64"/>
      <c r="H322" s="64" t="str">
        <f t="shared" si="8"/>
        <v/>
      </c>
      <c r="I322" s="65" t="str">
        <f t="shared" si="9"/>
        <v/>
      </c>
      <c r="J322" s="64"/>
    </row>
    <row r="323" spans="1:10">
      <c r="A323" s="63"/>
      <c r="B323" s="64"/>
      <c r="C323" s="64"/>
      <c r="D323" s="64"/>
      <c r="E323" s="65"/>
      <c r="F323" s="64"/>
      <c r="G323" s="64"/>
      <c r="H323" s="64" t="str">
        <f t="shared" si="8"/>
        <v/>
      </c>
      <c r="I323" s="65" t="str">
        <f t="shared" si="9"/>
        <v/>
      </c>
      <c r="J323" s="64"/>
    </row>
    <row r="324" spans="1:10">
      <c r="A324" s="63"/>
      <c r="B324" s="64"/>
      <c r="C324" s="64"/>
      <c r="D324" s="64"/>
      <c r="E324" s="65"/>
      <c r="F324" s="64"/>
      <c r="G324" s="64"/>
      <c r="H324" s="64" t="str">
        <f t="shared" si="8"/>
        <v/>
      </c>
      <c r="I324" s="65" t="str">
        <f t="shared" si="9"/>
        <v/>
      </c>
      <c r="J324" s="64"/>
    </row>
    <row r="325" spans="1:10">
      <c r="A325" s="63"/>
      <c r="B325" s="64"/>
      <c r="C325" s="64"/>
      <c r="D325" s="64"/>
      <c r="E325" s="65"/>
      <c r="F325" s="64"/>
      <c r="G325" s="64"/>
      <c r="H325" s="64" t="str">
        <f t="shared" si="8"/>
        <v/>
      </c>
      <c r="I325" s="65" t="str">
        <f t="shared" si="9"/>
        <v/>
      </c>
      <c r="J325" s="64"/>
    </row>
    <row r="326" spans="1:10">
      <c r="A326" s="63"/>
      <c r="B326" s="64"/>
      <c r="C326" s="64"/>
      <c r="D326" s="64"/>
      <c r="E326" s="65"/>
      <c r="F326" s="64"/>
      <c r="G326" s="64"/>
      <c r="H326" s="64" t="str">
        <f t="shared" si="8"/>
        <v/>
      </c>
      <c r="I326" s="65" t="str">
        <f t="shared" si="9"/>
        <v/>
      </c>
      <c r="J326" s="64"/>
    </row>
    <row r="327" spans="1:10">
      <c r="A327" s="63"/>
      <c r="B327" s="64"/>
      <c r="C327" s="64"/>
      <c r="D327" s="64"/>
      <c r="E327" s="65"/>
      <c r="F327" s="64"/>
      <c r="G327" s="64"/>
      <c r="H327" s="64" t="str">
        <f t="shared" si="8"/>
        <v/>
      </c>
      <c r="I327" s="65" t="str">
        <f t="shared" si="9"/>
        <v/>
      </c>
      <c r="J327" s="64"/>
    </row>
    <row r="328" spans="1:10">
      <c r="A328" s="63"/>
      <c r="B328" s="64"/>
      <c r="C328" s="64"/>
      <c r="D328" s="64"/>
      <c r="E328" s="65"/>
      <c r="F328" s="64"/>
      <c r="G328" s="64"/>
      <c r="H328" s="64" t="str">
        <f t="shared" si="8"/>
        <v/>
      </c>
      <c r="I328" s="65" t="str">
        <f t="shared" si="9"/>
        <v/>
      </c>
      <c r="J328" s="64"/>
    </row>
    <row r="329" spans="1:10">
      <c r="A329" s="63"/>
      <c r="B329" s="64"/>
      <c r="C329" s="64"/>
      <c r="D329" s="64"/>
      <c r="E329" s="65"/>
      <c r="F329" s="64"/>
      <c r="G329" s="64"/>
      <c r="H329" s="64" t="str">
        <f t="shared" si="8"/>
        <v/>
      </c>
      <c r="I329" s="65" t="str">
        <f t="shared" si="9"/>
        <v/>
      </c>
      <c r="J329" s="64"/>
    </row>
    <row r="330" spans="1:10">
      <c r="A330" s="63"/>
      <c r="B330" s="64"/>
      <c r="C330" s="64"/>
      <c r="D330" s="64"/>
      <c r="E330" s="65"/>
      <c r="F330" s="64"/>
      <c r="G330" s="64"/>
      <c r="H330" s="64" t="str">
        <f t="shared" si="8"/>
        <v/>
      </c>
      <c r="I330" s="65" t="str">
        <f t="shared" si="9"/>
        <v/>
      </c>
      <c r="J330" s="64"/>
    </row>
    <row r="331" spans="1:10">
      <c r="A331" s="63"/>
      <c r="B331" s="64"/>
      <c r="C331" s="64"/>
      <c r="D331" s="64"/>
      <c r="E331" s="65"/>
      <c r="F331" s="64"/>
      <c r="G331" s="64"/>
      <c r="H331" s="64" t="str">
        <f t="shared" ref="H331:H394" si="10">IF(A331="","",TEXT(A331,"mmm-yyyy"))</f>
        <v/>
      </c>
      <c r="I331" s="65" t="str">
        <f t="shared" ref="I331:I394" si="11">IF(OR(B331="",E331=""),"",IF(B331="Ingreso",E331,-E331))</f>
        <v/>
      </c>
      <c r="J331" s="64"/>
    </row>
    <row r="332" spans="1:10">
      <c r="A332" s="63"/>
      <c r="B332" s="64"/>
      <c r="C332" s="64"/>
      <c r="D332" s="64"/>
      <c r="E332" s="65"/>
      <c r="F332" s="64"/>
      <c r="G332" s="64"/>
      <c r="H332" s="64" t="str">
        <f t="shared" si="10"/>
        <v/>
      </c>
      <c r="I332" s="65" t="str">
        <f t="shared" si="11"/>
        <v/>
      </c>
      <c r="J332" s="64"/>
    </row>
    <row r="333" spans="1:10">
      <c r="A333" s="63"/>
      <c r="B333" s="64"/>
      <c r="C333" s="64"/>
      <c r="D333" s="64"/>
      <c r="E333" s="65"/>
      <c r="F333" s="64"/>
      <c r="G333" s="64"/>
      <c r="H333" s="64" t="str">
        <f t="shared" si="10"/>
        <v/>
      </c>
      <c r="I333" s="65" t="str">
        <f t="shared" si="11"/>
        <v/>
      </c>
      <c r="J333" s="64"/>
    </row>
    <row r="334" spans="1:10">
      <c r="A334" s="63"/>
      <c r="B334" s="64"/>
      <c r="C334" s="64"/>
      <c r="D334" s="64"/>
      <c r="E334" s="65"/>
      <c r="F334" s="64"/>
      <c r="G334" s="64"/>
      <c r="H334" s="64" t="str">
        <f t="shared" si="10"/>
        <v/>
      </c>
      <c r="I334" s="65" t="str">
        <f t="shared" si="11"/>
        <v/>
      </c>
      <c r="J334" s="64"/>
    </row>
    <row r="335" spans="1:10">
      <c r="A335" s="63"/>
      <c r="B335" s="64"/>
      <c r="C335" s="64"/>
      <c r="D335" s="64"/>
      <c r="E335" s="65"/>
      <c r="F335" s="64"/>
      <c r="G335" s="64"/>
      <c r="H335" s="64" t="str">
        <f t="shared" si="10"/>
        <v/>
      </c>
      <c r="I335" s="65" t="str">
        <f t="shared" si="11"/>
        <v/>
      </c>
      <c r="J335" s="64"/>
    </row>
    <row r="336" spans="1:10">
      <c r="A336" s="63"/>
      <c r="B336" s="64"/>
      <c r="C336" s="64"/>
      <c r="D336" s="64"/>
      <c r="E336" s="65"/>
      <c r="F336" s="64"/>
      <c r="G336" s="64"/>
      <c r="H336" s="64" t="str">
        <f t="shared" si="10"/>
        <v/>
      </c>
      <c r="I336" s="65" t="str">
        <f t="shared" si="11"/>
        <v/>
      </c>
      <c r="J336" s="64"/>
    </row>
    <row r="337" spans="1:10">
      <c r="A337" s="63"/>
      <c r="B337" s="64"/>
      <c r="C337" s="64"/>
      <c r="D337" s="64"/>
      <c r="E337" s="65"/>
      <c r="F337" s="64"/>
      <c r="G337" s="64"/>
      <c r="H337" s="64" t="str">
        <f t="shared" si="10"/>
        <v/>
      </c>
      <c r="I337" s="65" t="str">
        <f t="shared" si="11"/>
        <v/>
      </c>
      <c r="J337" s="64"/>
    </row>
    <row r="338" spans="1:10">
      <c r="A338" s="63"/>
      <c r="B338" s="64"/>
      <c r="C338" s="64"/>
      <c r="D338" s="64"/>
      <c r="E338" s="65"/>
      <c r="F338" s="64"/>
      <c r="G338" s="64"/>
      <c r="H338" s="64" t="str">
        <f t="shared" si="10"/>
        <v/>
      </c>
      <c r="I338" s="65" t="str">
        <f t="shared" si="11"/>
        <v/>
      </c>
      <c r="J338" s="64"/>
    </row>
    <row r="339" spans="1:10">
      <c r="A339" s="63"/>
      <c r="B339" s="64"/>
      <c r="C339" s="64"/>
      <c r="D339" s="64"/>
      <c r="E339" s="65"/>
      <c r="F339" s="64"/>
      <c r="G339" s="64"/>
      <c r="H339" s="64" t="str">
        <f t="shared" si="10"/>
        <v/>
      </c>
      <c r="I339" s="65" t="str">
        <f t="shared" si="11"/>
        <v/>
      </c>
      <c r="J339" s="64"/>
    </row>
    <row r="340" spans="1:10">
      <c r="A340" s="63"/>
      <c r="B340" s="64"/>
      <c r="C340" s="64"/>
      <c r="D340" s="64"/>
      <c r="E340" s="65"/>
      <c r="F340" s="64"/>
      <c r="G340" s="64"/>
      <c r="H340" s="64" t="str">
        <f t="shared" si="10"/>
        <v/>
      </c>
      <c r="I340" s="65" t="str">
        <f t="shared" si="11"/>
        <v/>
      </c>
      <c r="J340" s="64"/>
    </row>
    <row r="341" spans="1:10">
      <c r="A341" s="63"/>
      <c r="B341" s="64"/>
      <c r="C341" s="64"/>
      <c r="D341" s="64"/>
      <c r="E341" s="65"/>
      <c r="F341" s="64"/>
      <c r="G341" s="64"/>
      <c r="H341" s="64" t="str">
        <f t="shared" si="10"/>
        <v/>
      </c>
      <c r="I341" s="65" t="str">
        <f t="shared" si="11"/>
        <v/>
      </c>
      <c r="J341" s="64"/>
    </row>
    <row r="342" spans="1:10">
      <c r="A342" s="63"/>
      <c r="B342" s="64"/>
      <c r="C342" s="64"/>
      <c r="D342" s="64"/>
      <c r="E342" s="65"/>
      <c r="F342" s="64"/>
      <c r="G342" s="64"/>
      <c r="H342" s="64" t="str">
        <f t="shared" si="10"/>
        <v/>
      </c>
      <c r="I342" s="65" t="str">
        <f t="shared" si="11"/>
        <v/>
      </c>
      <c r="J342" s="64"/>
    </row>
    <row r="343" spans="1:10">
      <c r="A343" s="63"/>
      <c r="B343" s="64"/>
      <c r="C343" s="64"/>
      <c r="D343" s="64"/>
      <c r="E343" s="65"/>
      <c r="F343" s="64"/>
      <c r="G343" s="64"/>
      <c r="H343" s="64" t="str">
        <f t="shared" si="10"/>
        <v/>
      </c>
      <c r="I343" s="65" t="str">
        <f t="shared" si="11"/>
        <v/>
      </c>
      <c r="J343" s="64"/>
    </row>
    <row r="344" spans="1:10">
      <c r="A344" s="63"/>
      <c r="B344" s="64"/>
      <c r="C344" s="64"/>
      <c r="D344" s="64"/>
      <c r="E344" s="65"/>
      <c r="F344" s="64"/>
      <c r="G344" s="64"/>
      <c r="H344" s="64" t="str">
        <f t="shared" si="10"/>
        <v/>
      </c>
      <c r="I344" s="65" t="str">
        <f t="shared" si="11"/>
        <v/>
      </c>
      <c r="J344" s="64"/>
    </row>
    <row r="345" spans="1:10">
      <c r="A345" s="63"/>
      <c r="B345" s="64"/>
      <c r="C345" s="64"/>
      <c r="D345" s="64"/>
      <c r="E345" s="65"/>
      <c r="F345" s="64"/>
      <c r="G345" s="64"/>
      <c r="H345" s="64" t="str">
        <f t="shared" si="10"/>
        <v/>
      </c>
      <c r="I345" s="65" t="str">
        <f t="shared" si="11"/>
        <v/>
      </c>
      <c r="J345" s="64"/>
    </row>
    <row r="346" spans="1:10">
      <c r="A346" s="63"/>
      <c r="B346" s="64"/>
      <c r="C346" s="64"/>
      <c r="D346" s="64"/>
      <c r="E346" s="65"/>
      <c r="F346" s="64"/>
      <c r="G346" s="64"/>
      <c r="H346" s="64" t="str">
        <f t="shared" si="10"/>
        <v/>
      </c>
      <c r="I346" s="65" t="str">
        <f t="shared" si="11"/>
        <v/>
      </c>
      <c r="J346" s="64"/>
    </row>
    <row r="347" spans="1:10">
      <c r="A347" s="63"/>
      <c r="B347" s="64"/>
      <c r="C347" s="64"/>
      <c r="D347" s="64"/>
      <c r="E347" s="65"/>
      <c r="F347" s="64"/>
      <c r="G347" s="64"/>
      <c r="H347" s="64" t="str">
        <f t="shared" si="10"/>
        <v/>
      </c>
      <c r="I347" s="65" t="str">
        <f t="shared" si="11"/>
        <v/>
      </c>
      <c r="J347" s="64"/>
    </row>
    <row r="348" spans="1:10">
      <c r="A348" s="63"/>
      <c r="B348" s="64"/>
      <c r="C348" s="64"/>
      <c r="D348" s="64"/>
      <c r="E348" s="65"/>
      <c r="F348" s="64"/>
      <c r="G348" s="64"/>
      <c r="H348" s="64" t="str">
        <f t="shared" si="10"/>
        <v/>
      </c>
      <c r="I348" s="65" t="str">
        <f t="shared" si="11"/>
        <v/>
      </c>
      <c r="J348" s="64"/>
    </row>
    <row r="349" spans="1:10">
      <c r="A349" s="63"/>
      <c r="B349" s="64"/>
      <c r="C349" s="64"/>
      <c r="D349" s="64"/>
      <c r="E349" s="65"/>
      <c r="F349" s="64"/>
      <c r="G349" s="64"/>
      <c r="H349" s="64" t="str">
        <f t="shared" si="10"/>
        <v/>
      </c>
      <c r="I349" s="65" t="str">
        <f t="shared" si="11"/>
        <v/>
      </c>
      <c r="J349" s="64"/>
    </row>
    <row r="350" spans="1:10">
      <c r="A350" s="63"/>
      <c r="B350" s="64"/>
      <c r="C350" s="64"/>
      <c r="D350" s="64"/>
      <c r="E350" s="65"/>
      <c r="F350" s="64"/>
      <c r="G350" s="64"/>
      <c r="H350" s="64" t="str">
        <f t="shared" si="10"/>
        <v/>
      </c>
      <c r="I350" s="65" t="str">
        <f t="shared" si="11"/>
        <v/>
      </c>
      <c r="J350" s="64"/>
    </row>
    <row r="351" spans="1:10">
      <c r="A351" s="63"/>
      <c r="B351" s="64"/>
      <c r="C351" s="64"/>
      <c r="D351" s="64"/>
      <c r="E351" s="65"/>
      <c r="F351" s="64"/>
      <c r="G351" s="64"/>
      <c r="H351" s="64" t="str">
        <f t="shared" si="10"/>
        <v/>
      </c>
      <c r="I351" s="65" t="str">
        <f t="shared" si="11"/>
        <v/>
      </c>
      <c r="J351" s="64"/>
    </row>
    <row r="352" spans="1:10">
      <c r="A352" s="63"/>
      <c r="B352" s="64"/>
      <c r="C352" s="64"/>
      <c r="D352" s="64"/>
      <c r="E352" s="65"/>
      <c r="F352" s="64"/>
      <c r="G352" s="64"/>
      <c r="H352" s="64" t="str">
        <f t="shared" si="10"/>
        <v/>
      </c>
      <c r="I352" s="65" t="str">
        <f t="shared" si="11"/>
        <v/>
      </c>
      <c r="J352" s="64"/>
    </row>
    <row r="353" spans="1:10">
      <c r="A353" s="63"/>
      <c r="B353" s="64"/>
      <c r="C353" s="64"/>
      <c r="D353" s="64"/>
      <c r="E353" s="65"/>
      <c r="F353" s="64"/>
      <c r="G353" s="64"/>
      <c r="H353" s="64" t="str">
        <f t="shared" si="10"/>
        <v/>
      </c>
      <c r="I353" s="65" t="str">
        <f t="shared" si="11"/>
        <v/>
      </c>
      <c r="J353" s="64"/>
    </row>
    <row r="354" spans="1:10">
      <c r="A354" s="63"/>
      <c r="B354" s="64"/>
      <c r="C354" s="64"/>
      <c r="D354" s="64"/>
      <c r="E354" s="65"/>
      <c r="F354" s="64"/>
      <c r="G354" s="64"/>
      <c r="H354" s="64" t="str">
        <f t="shared" si="10"/>
        <v/>
      </c>
      <c r="I354" s="65" t="str">
        <f t="shared" si="11"/>
        <v/>
      </c>
      <c r="J354" s="64"/>
    </row>
    <row r="355" spans="1:10">
      <c r="A355" s="63"/>
      <c r="B355" s="64"/>
      <c r="C355" s="64"/>
      <c r="D355" s="64"/>
      <c r="E355" s="65"/>
      <c r="F355" s="64"/>
      <c r="G355" s="64"/>
      <c r="H355" s="64" t="str">
        <f t="shared" si="10"/>
        <v/>
      </c>
      <c r="I355" s="65" t="str">
        <f t="shared" si="11"/>
        <v/>
      </c>
      <c r="J355" s="64"/>
    </row>
    <row r="356" spans="1:10">
      <c r="A356" s="63"/>
      <c r="B356" s="64"/>
      <c r="C356" s="64"/>
      <c r="D356" s="64"/>
      <c r="E356" s="65"/>
      <c r="F356" s="64"/>
      <c r="G356" s="64"/>
      <c r="H356" s="64" t="str">
        <f t="shared" si="10"/>
        <v/>
      </c>
      <c r="I356" s="65" t="str">
        <f t="shared" si="11"/>
        <v/>
      </c>
      <c r="J356" s="64"/>
    </row>
    <row r="357" spans="1:10">
      <c r="A357" s="63"/>
      <c r="B357" s="64"/>
      <c r="C357" s="64"/>
      <c r="D357" s="64"/>
      <c r="E357" s="65"/>
      <c r="F357" s="64"/>
      <c r="G357" s="64"/>
      <c r="H357" s="64" t="str">
        <f t="shared" si="10"/>
        <v/>
      </c>
      <c r="I357" s="65" t="str">
        <f t="shared" si="11"/>
        <v/>
      </c>
      <c r="J357" s="64"/>
    </row>
    <row r="358" spans="1:10">
      <c r="A358" s="63"/>
      <c r="B358" s="64"/>
      <c r="C358" s="64"/>
      <c r="D358" s="64"/>
      <c r="E358" s="65"/>
      <c r="F358" s="64"/>
      <c r="G358" s="64"/>
      <c r="H358" s="64" t="str">
        <f t="shared" si="10"/>
        <v/>
      </c>
      <c r="I358" s="65" t="str">
        <f t="shared" si="11"/>
        <v/>
      </c>
      <c r="J358" s="64"/>
    </row>
    <row r="359" spans="1:10">
      <c r="A359" s="63"/>
      <c r="B359" s="64"/>
      <c r="C359" s="64"/>
      <c r="D359" s="64"/>
      <c r="E359" s="65"/>
      <c r="F359" s="64"/>
      <c r="G359" s="64"/>
      <c r="H359" s="64" t="str">
        <f t="shared" si="10"/>
        <v/>
      </c>
      <c r="I359" s="65" t="str">
        <f t="shared" si="11"/>
        <v/>
      </c>
      <c r="J359" s="64"/>
    </row>
    <row r="360" spans="1:10">
      <c r="A360" s="63"/>
      <c r="B360" s="64"/>
      <c r="C360" s="64"/>
      <c r="D360" s="64"/>
      <c r="E360" s="65"/>
      <c r="F360" s="64"/>
      <c r="G360" s="64"/>
      <c r="H360" s="64" t="str">
        <f t="shared" si="10"/>
        <v/>
      </c>
      <c r="I360" s="65" t="str">
        <f t="shared" si="11"/>
        <v/>
      </c>
      <c r="J360" s="64"/>
    </row>
    <row r="361" spans="1:10">
      <c r="A361" s="63"/>
      <c r="B361" s="64"/>
      <c r="C361" s="64"/>
      <c r="D361" s="64"/>
      <c r="E361" s="65"/>
      <c r="F361" s="64"/>
      <c r="G361" s="64"/>
      <c r="H361" s="64" t="str">
        <f t="shared" si="10"/>
        <v/>
      </c>
      <c r="I361" s="65" t="str">
        <f t="shared" si="11"/>
        <v/>
      </c>
      <c r="J361" s="64"/>
    </row>
    <row r="362" spans="1:10">
      <c r="A362" s="63"/>
      <c r="B362" s="64"/>
      <c r="C362" s="64"/>
      <c r="D362" s="64"/>
      <c r="E362" s="65"/>
      <c r="F362" s="64"/>
      <c r="G362" s="64"/>
      <c r="H362" s="64" t="str">
        <f t="shared" si="10"/>
        <v/>
      </c>
      <c r="I362" s="65" t="str">
        <f t="shared" si="11"/>
        <v/>
      </c>
      <c r="J362" s="64"/>
    </row>
    <row r="363" spans="1:10">
      <c r="A363" s="63"/>
      <c r="B363" s="64"/>
      <c r="C363" s="64"/>
      <c r="D363" s="64"/>
      <c r="E363" s="65"/>
      <c r="F363" s="64"/>
      <c r="G363" s="64"/>
      <c r="H363" s="64" t="str">
        <f t="shared" si="10"/>
        <v/>
      </c>
      <c r="I363" s="65" t="str">
        <f t="shared" si="11"/>
        <v/>
      </c>
      <c r="J363" s="64"/>
    </row>
    <row r="364" spans="1:10">
      <c r="A364" s="63"/>
      <c r="B364" s="64"/>
      <c r="C364" s="64"/>
      <c r="D364" s="64"/>
      <c r="E364" s="65"/>
      <c r="F364" s="64"/>
      <c r="G364" s="64"/>
      <c r="H364" s="64" t="str">
        <f t="shared" si="10"/>
        <v/>
      </c>
      <c r="I364" s="65" t="str">
        <f t="shared" si="11"/>
        <v/>
      </c>
      <c r="J364" s="64"/>
    </row>
    <row r="365" spans="1:10">
      <c r="A365" s="63"/>
      <c r="B365" s="64"/>
      <c r="C365" s="64"/>
      <c r="D365" s="64"/>
      <c r="E365" s="65"/>
      <c r="F365" s="64"/>
      <c r="G365" s="64"/>
      <c r="H365" s="64" t="str">
        <f t="shared" si="10"/>
        <v/>
      </c>
      <c r="I365" s="65" t="str">
        <f t="shared" si="11"/>
        <v/>
      </c>
      <c r="J365" s="64"/>
    </row>
    <row r="366" spans="1:10">
      <c r="A366" s="63"/>
      <c r="B366" s="64"/>
      <c r="C366" s="64"/>
      <c r="D366" s="64"/>
      <c r="E366" s="65"/>
      <c r="F366" s="64"/>
      <c r="G366" s="64"/>
      <c r="H366" s="64" t="str">
        <f t="shared" si="10"/>
        <v/>
      </c>
      <c r="I366" s="65" t="str">
        <f t="shared" si="11"/>
        <v/>
      </c>
      <c r="J366" s="64"/>
    </row>
    <row r="367" spans="1:10">
      <c r="A367" s="63"/>
      <c r="B367" s="64"/>
      <c r="C367" s="64"/>
      <c r="D367" s="64"/>
      <c r="E367" s="65"/>
      <c r="F367" s="64"/>
      <c r="G367" s="64"/>
      <c r="H367" s="64" t="str">
        <f t="shared" si="10"/>
        <v/>
      </c>
      <c r="I367" s="65" t="str">
        <f t="shared" si="11"/>
        <v/>
      </c>
      <c r="J367" s="64"/>
    </row>
    <row r="368" spans="1:10">
      <c r="A368" s="63"/>
      <c r="B368" s="64"/>
      <c r="C368" s="64"/>
      <c r="D368" s="64"/>
      <c r="E368" s="65"/>
      <c r="F368" s="64"/>
      <c r="G368" s="64"/>
      <c r="H368" s="64" t="str">
        <f t="shared" si="10"/>
        <v/>
      </c>
      <c r="I368" s="65" t="str">
        <f t="shared" si="11"/>
        <v/>
      </c>
      <c r="J368" s="64"/>
    </row>
    <row r="369" spans="1:10">
      <c r="A369" s="63"/>
      <c r="B369" s="64"/>
      <c r="C369" s="64"/>
      <c r="D369" s="64"/>
      <c r="E369" s="65"/>
      <c r="F369" s="64"/>
      <c r="G369" s="64"/>
      <c r="H369" s="64" t="str">
        <f t="shared" si="10"/>
        <v/>
      </c>
      <c r="I369" s="65" t="str">
        <f t="shared" si="11"/>
        <v/>
      </c>
      <c r="J369" s="64"/>
    </row>
    <row r="370" spans="1:10">
      <c r="A370" s="63"/>
      <c r="B370" s="64"/>
      <c r="C370" s="64"/>
      <c r="D370" s="64"/>
      <c r="E370" s="65"/>
      <c r="F370" s="64"/>
      <c r="G370" s="64"/>
      <c r="H370" s="64" t="str">
        <f t="shared" si="10"/>
        <v/>
      </c>
      <c r="I370" s="65" t="str">
        <f t="shared" si="11"/>
        <v/>
      </c>
      <c r="J370" s="64"/>
    </row>
    <row r="371" spans="1:10">
      <c r="A371" s="63"/>
      <c r="B371" s="64"/>
      <c r="C371" s="64"/>
      <c r="D371" s="64"/>
      <c r="E371" s="65"/>
      <c r="F371" s="64"/>
      <c r="G371" s="64"/>
      <c r="H371" s="64" t="str">
        <f t="shared" si="10"/>
        <v/>
      </c>
      <c r="I371" s="65" t="str">
        <f t="shared" si="11"/>
        <v/>
      </c>
      <c r="J371" s="64"/>
    </row>
    <row r="372" spans="1:10">
      <c r="A372" s="63"/>
      <c r="B372" s="64"/>
      <c r="C372" s="64"/>
      <c r="D372" s="64"/>
      <c r="E372" s="65"/>
      <c r="F372" s="64"/>
      <c r="G372" s="64"/>
      <c r="H372" s="64" t="str">
        <f t="shared" si="10"/>
        <v/>
      </c>
      <c r="I372" s="65" t="str">
        <f t="shared" si="11"/>
        <v/>
      </c>
      <c r="J372" s="64"/>
    </row>
    <row r="373" spans="1:10">
      <c r="A373" s="63"/>
      <c r="B373" s="64"/>
      <c r="C373" s="64"/>
      <c r="D373" s="64"/>
      <c r="E373" s="65"/>
      <c r="F373" s="64"/>
      <c r="G373" s="64"/>
      <c r="H373" s="64" t="str">
        <f t="shared" si="10"/>
        <v/>
      </c>
      <c r="I373" s="65" t="str">
        <f t="shared" si="11"/>
        <v/>
      </c>
      <c r="J373" s="64"/>
    </row>
    <row r="374" spans="1:10">
      <c r="A374" s="63"/>
      <c r="B374" s="64"/>
      <c r="C374" s="64"/>
      <c r="D374" s="64"/>
      <c r="E374" s="65"/>
      <c r="F374" s="64"/>
      <c r="G374" s="64"/>
      <c r="H374" s="64" t="str">
        <f t="shared" si="10"/>
        <v/>
      </c>
      <c r="I374" s="65" t="str">
        <f t="shared" si="11"/>
        <v/>
      </c>
      <c r="J374" s="64"/>
    </row>
    <row r="375" spans="1:10">
      <c r="A375" s="63"/>
      <c r="B375" s="64"/>
      <c r="C375" s="64"/>
      <c r="D375" s="64"/>
      <c r="E375" s="65"/>
      <c r="F375" s="64"/>
      <c r="G375" s="64"/>
      <c r="H375" s="64" t="str">
        <f t="shared" si="10"/>
        <v/>
      </c>
      <c r="I375" s="65" t="str">
        <f t="shared" si="11"/>
        <v/>
      </c>
      <c r="J375" s="64"/>
    </row>
    <row r="376" spans="1:10">
      <c r="A376" s="63"/>
      <c r="B376" s="64"/>
      <c r="C376" s="64"/>
      <c r="D376" s="64"/>
      <c r="E376" s="65"/>
      <c r="F376" s="64"/>
      <c r="G376" s="64"/>
      <c r="H376" s="64" t="str">
        <f t="shared" si="10"/>
        <v/>
      </c>
      <c r="I376" s="65" t="str">
        <f t="shared" si="11"/>
        <v/>
      </c>
      <c r="J376" s="64"/>
    </row>
    <row r="377" spans="1:10">
      <c r="A377" s="63"/>
      <c r="B377" s="64"/>
      <c r="C377" s="64"/>
      <c r="D377" s="64"/>
      <c r="E377" s="65"/>
      <c r="F377" s="64"/>
      <c r="G377" s="64"/>
      <c r="H377" s="64" t="str">
        <f t="shared" si="10"/>
        <v/>
      </c>
      <c r="I377" s="65" t="str">
        <f t="shared" si="11"/>
        <v/>
      </c>
      <c r="J377" s="64"/>
    </row>
    <row r="378" spans="1:10">
      <c r="A378" s="63"/>
      <c r="B378" s="64"/>
      <c r="C378" s="64"/>
      <c r="D378" s="64"/>
      <c r="E378" s="65"/>
      <c r="F378" s="64"/>
      <c r="G378" s="64"/>
      <c r="H378" s="64" t="str">
        <f t="shared" si="10"/>
        <v/>
      </c>
      <c r="I378" s="65" t="str">
        <f t="shared" si="11"/>
        <v/>
      </c>
      <c r="J378" s="64"/>
    </row>
    <row r="379" spans="1:10">
      <c r="A379" s="63"/>
      <c r="B379" s="64"/>
      <c r="C379" s="64"/>
      <c r="D379" s="64"/>
      <c r="E379" s="65"/>
      <c r="F379" s="64"/>
      <c r="G379" s="64"/>
      <c r="H379" s="64" t="str">
        <f t="shared" si="10"/>
        <v/>
      </c>
      <c r="I379" s="65" t="str">
        <f t="shared" si="11"/>
        <v/>
      </c>
      <c r="J379" s="64"/>
    </row>
    <row r="380" spans="1:10">
      <c r="A380" s="63"/>
      <c r="B380" s="64"/>
      <c r="C380" s="64"/>
      <c r="D380" s="64"/>
      <c r="E380" s="65"/>
      <c r="F380" s="64"/>
      <c r="G380" s="64"/>
      <c r="H380" s="64" t="str">
        <f t="shared" si="10"/>
        <v/>
      </c>
      <c r="I380" s="65" t="str">
        <f t="shared" si="11"/>
        <v/>
      </c>
      <c r="J380" s="64"/>
    </row>
    <row r="381" spans="1:10">
      <c r="A381" s="63"/>
      <c r="B381" s="64"/>
      <c r="C381" s="64"/>
      <c r="D381" s="64"/>
      <c r="E381" s="65"/>
      <c r="F381" s="64"/>
      <c r="G381" s="64"/>
      <c r="H381" s="64" t="str">
        <f t="shared" si="10"/>
        <v/>
      </c>
      <c r="I381" s="65" t="str">
        <f t="shared" si="11"/>
        <v/>
      </c>
      <c r="J381" s="64"/>
    </row>
    <row r="382" spans="1:10">
      <c r="A382" s="63"/>
      <c r="B382" s="64"/>
      <c r="C382" s="64"/>
      <c r="D382" s="64"/>
      <c r="E382" s="65"/>
      <c r="F382" s="64"/>
      <c r="G382" s="64"/>
      <c r="H382" s="64" t="str">
        <f t="shared" si="10"/>
        <v/>
      </c>
      <c r="I382" s="65" t="str">
        <f t="shared" si="11"/>
        <v/>
      </c>
      <c r="J382" s="64"/>
    </row>
    <row r="383" spans="1:10">
      <c r="A383" s="63"/>
      <c r="B383" s="64"/>
      <c r="C383" s="64"/>
      <c r="D383" s="64"/>
      <c r="E383" s="65"/>
      <c r="F383" s="64"/>
      <c r="G383" s="64"/>
      <c r="H383" s="64" t="str">
        <f t="shared" si="10"/>
        <v/>
      </c>
      <c r="I383" s="65" t="str">
        <f t="shared" si="11"/>
        <v/>
      </c>
      <c r="J383" s="64"/>
    </row>
    <row r="384" spans="1:10">
      <c r="A384" s="63"/>
      <c r="B384" s="64"/>
      <c r="C384" s="64"/>
      <c r="D384" s="64"/>
      <c r="E384" s="65"/>
      <c r="F384" s="64"/>
      <c r="G384" s="64"/>
      <c r="H384" s="64" t="str">
        <f t="shared" si="10"/>
        <v/>
      </c>
      <c r="I384" s="65" t="str">
        <f t="shared" si="11"/>
        <v/>
      </c>
      <c r="J384" s="64"/>
    </row>
    <row r="385" spans="1:10">
      <c r="A385" s="63"/>
      <c r="B385" s="64"/>
      <c r="C385" s="64"/>
      <c r="D385" s="64"/>
      <c r="E385" s="65"/>
      <c r="F385" s="64"/>
      <c r="G385" s="64"/>
      <c r="H385" s="64" t="str">
        <f t="shared" si="10"/>
        <v/>
      </c>
      <c r="I385" s="65" t="str">
        <f t="shared" si="11"/>
        <v/>
      </c>
      <c r="J385" s="64"/>
    </row>
    <row r="386" spans="1:10">
      <c r="A386" s="63"/>
      <c r="B386" s="64"/>
      <c r="C386" s="64"/>
      <c r="D386" s="64"/>
      <c r="E386" s="65"/>
      <c r="F386" s="64"/>
      <c r="G386" s="64"/>
      <c r="H386" s="64" t="str">
        <f t="shared" si="10"/>
        <v/>
      </c>
      <c r="I386" s="65" t="str">
        <f t="shared" si="11"/>
        <v/>
      </c>
      <c r="J386" s="64"/>
    </row>
    <row r="387" spans="1:10">
      <c r="A387" s="63"/>
      <c r="B387" s="64"/>
      <c r="C387" s="64"/>
      <c r="D387" s="64"/>
      <c r="E387" s="65"/>
      <c r="F387" s="64"/>
      <c r="G387" s="64"/>
      <c r="H387" s="64" t="str">
        <f t="shared" si="10"/>
        <v/>
      </c>
      <c r="I387" s="65" t="str">
        <f t="shared" si="11"/>
        <v/>
      </c>
      <c r="J387" s="64"/>
    </row>
    <row r="388" spans="1:10">
      <c r="A388" s="63"/>
      <c r="B388" s="64"/>
      <c r="C388" s="64"/>
      <c r="D388" s="64"/>
      <c r="E388" s="65"/>
      <c r="F388" s="64"/>
      <c r="G388" s="64"/>
      <c r="H388" s="64" t="str">
        <f t="shared" si="10"/>
        <v/>
      </c>
      <c r="I388" s="65" t="str">
        <f t="shared" si="11"/>
        <v/>
      </c>
      <c r="J388" s="64"/>
    </row>
    <row r="389" spans="1:10">
      <c r="A389" s="63"/>
      <c r="B389" s="64"/>
      <c r="C389" s="64"/>
      <c r="D389" s="64"/>
      <c r="E389" s="65"/>
      <c r="F389" s="64"/>
      <c r="G389" s="64"/>
      <c r="H389" s="64" t="str">
        <f t="shared" si="10"/>
        <v/>
      </c>
      <c r="I389" s="65" t="str">
        <f t="shared" si="11"/>
        <v/>
      </c>
      <c r="J389" s="64"/>
    </row>
    <row r="390" spans="1:10">
      <c r="A390" s="63"/>
      <c r="B390" s="64"/>
      <c r="C390" s="64"/>
      <c r="D390" s="64"/>
      <c r="E390" s="65"/>
      <c r="F390" s="64"/>
      <c r="G390" s="64"/>
      <c r="H390" s="64" t="str">
        <f t="shared" si="10"/>
        <v/>
      </c>
      <c r="I390" s="65" t="str">
        <f t="shared" si="11"/>
        <v/>
      </c>
      <c r="J390" s="64"/>
    </row>
    <row r="391" spans="1:10">
      <c r="A391" s="63"/>
      <c r="B391" s="64"/>
      <c r="C391" s="64"/>
      <c r="D391" s="64"/>
      <c r="E391" s="65"/>
      <c r="F391" s="64"/>
      <c r="G391" s="64"/>
      <c r="H391" s="64" t="str">
        <f t="shared" si="10"/>
        <v/>
      </c>
      <c r="I391" s="65" t="str">
        <f t="shared" si="11"/>
        <v/>
      </c>
      <c r="J391" s="64"/>
    </row>
    <row r="392" spans="1:10">
      <c r="A392" s="63"/>
      <c r="B392" s="64"/>
      <c r="C392" s="64"/>
      <c r="D392" s="64"/>
      <c r="E392" s="65"/>
      <c r="F392" s="64"/>
      <c r="G392" s="64"/>
      <c r="H392" s="64" t="str">
        <f t="shared" si="10"/>
        <v/>
      </c>
      <c r="I392" s="65" t="str">
        <f t="shared" si="11"/>
        <v/>
      </c>
      <c r="J392" s="64"/>
    </row>
    <row r="393" spans="1:10">
      <c r="A393" s="63"/>
      <c r="B393" s="64"/>
      <c r="C393" s="64"/>
      <c r="D393" s="64"/>
      <c r="E393" s="65"/>
      <c r="F393" s="64"/>
      <c r="G393" s="64"/>
      <c r="H393" s="64" t="str">
        <f t="shared" si="10"/>
        <v/>
      </c>
      <c r="I393" s="65" t="str">
        <f t="shared" si="11"/>
        <v/>
      </c>
      <c r="J393" s="64"/>
    </row>
    <row r="394" spans="1:10">
      <c r="A394" s="63"/>
      <c r="B394" s="64"/>
      <c r="C394" s="64"/>
      <c r="D394" s="64"/>
      <c r="E394" s="65"/>
      <c r="F394" s="64"/>
      <c r="G394" s="64"/>
      <c r="H394" s="64" t="str">
        <f t="shared" si="10"/>
        <v/>
      </c>
      <c r="I394" s="65" t="str">
        <f t="shared" si="11"/>
        <v/>
      </c>
      <c r="J394" s="64"/>
    </row>
    <row r="395" spans="1:10">
      <c r="A395" s="63"/>
      <c r="B395" s="64"/>
      <c r="C395" s="64"/>
      <c r="D395" s="64"/>
      <c r="E395" s="65"/>
      <c r="F395" s="64"/>
      <c r="G395" s="64"/>
      <c r="H395" s="64" t="str">
        <f t="shared" ref="H395:H458" si="12">IF(A395="","",TEXT(A395,"mmm-yyyy"))</f>
        <v/>
      </c>
      <c r="I395" s="65" t="str">
        <f t="shared" ref="I395:I458" si="13">IF(OR(B395="",E395=""),"",IF(B395="Ingreso",E395,-E395))</f>
        <v/>
      </c>
      <c r="J395" s="64"/>
    </row>
    <row r="396" spans="1:10">
      <c r="A396" s="63"/>
      <c r="B396" s="64"/>
      <c r="C396" s="64"/>
      <c r="D396" s="64"/>
      <c r="E396" s="65"/>
      <c r="F396" s="64"/>
      <c r="G396" s="64"/>
      <c r="H396" s="64" t="str">
        <f t="shared" si="12"/>
        <v/>
      </c>
      <c r="I396" s="65" t="str">
        <f t="shared" si="13"/>
        <v/>
      </c>
      <c r="J396" s="64"/>
    </row>
    <row r="397" spans="1:10">
      <c r="A397" s="63"/>
      <c r="B397" s="64"/>
      <c r="C397" s="64"/>
      <c r="D397" s="64"/>
      <c r="E397" s="65"/>
      <c r="F397" s="64"/>
      <c r="G397" s="64"/>
      <c r="H397" s="64" t="str">
        <f t="shared" si="12"/>
        <v/>
      </c>
      <c r="I397" s="65" t="str">
        <f t="shared" si="13"/>
        <v/>
      </c>
      <c r="J397" s="64"/>
    </row>
    <row r="398" spans="1:10">
      <c r="A398" s="63"/>
      <c r="B398" s="64"/>
      <c r="C398" s="64"/>
      <c r="D398" s="64"/>
      <c r="E398" s="65"/>
      <c r="F398" s="64"/>
      <c r="G398" s="64"/>
      <c r="H398" s="64" t="str">
        <f t="shared" si="12"/>
        <v/>
      </c>
      <c r="I398" s="65" t="str">
        <f t="shared" si="13"/>
        <v/>
      </c>
      <c r="J398" s="64"/>
    </row>
    <row r="399" spans="1:10">
      <c r="A399" s="63"/>
      <c r="B399" s="64"/>
      <c r="C399" s="64"/>
      <c r="D399" s="64"/>
      <c r="E399" s="65"/>
      <c r="F399" s="64"/>
      <c r="G399" s="64"/>
      <c r="H399" s="64" t="str">
        <f t="shared" si="12"/>
        <v/>
      </c>
      <c r="I399" s="65" t="str">
        <f t="shared" si="13"/>
        <v/>
      </c>
      <c r="J399" s="64"/>
    </row>
    <row r="400" spans="1:10">
      <c r="A400" s="63"/>
      <c r="B400" s="64"/>
      <c r="C400" s="64"/>
      <c r="D400" s="64"/>
      <c r="E400" s="65"/>
      <c r="F400" s="64"/>
      <c r="G400" s="64"/>
      <c r="H400" s="64" t="str">
        <f t="shared" si="12"/>
        <v/>
      </c>
      <c r="I400" s="65" t="str">
        <f t="shared" si="13"/>
        <v/>
      </c>
      <c r="J400" s="64"/>
    </row>
    <row r="401" spans="1:10">
      <c r="A401" s="63"/>
      <c r="B401" s="64"/>
      <c r="C401" s="64"/>
      <c r="D401" s="64"/>
      <c r="E401" s="65"/>
      <c r="F401" s="64"/>
      <c r="G401" s="64"/>
      <c r="H401" s="64" t="str">
        <f t="shared" si="12"/>
        <v/>
      </c>
      <c r="I401" s="65" t="str">
        <f t="shared" si="13"/>
        <v/>
      </c>
      <c r="J401" s="64"/>
    </row>
    <row r="402" spans="1:10">
      <c r="A402" s="63"/>
      <c r="B402" s="64"/>
      <c r="C402" s="64"/>
      <c r="D402" s="64"/>
      <c r="E402" s="65"/>
      <c r="F402" s="64"/>
      <c r="G402" s="64"/>
      <c r="H402" s="64" t="str">
        <f t="shared" si="12"/>
        <v/>
      </c>
      <c r="I402" s="65" t="str">
        <f t="shared" si="13"/>
        <v/>
      </c>
      <c r="J402" s="64"/>
    </row>
    <row r="403" spans="1:10">
      <c r="A403" s="63"/>
      <c r="B403" s="64"/>
      <c r="C403" s="64"/>
      <c r="D403" s="64"/>
      <c r="E403" s="65"/>
      <c r="F403" s="64"/>
      <c r="G403" s="64"/>
      <c r="H403" s="64" t="str">
        <f t="shared" si="12"/>
        <v/>
      </c>
      <c r="I403" s="65" t="str">
        <f t="shared" si="13"/>
        <v/>
      </c>
      <c r="J403" s="64"/>
    </row>
    <row r="404" spans="1:10">
      <c r="A404" s="63"/>
      <c r="B404" s="64"/>
      <c r="C404" s="64"/>
      <c r="D404" s="64"/>
      <c r="E404" s="65"/>
      <c r="F404" s="64"/>
      <c r="G404" s="64"/>
      <c r="H404" s="64" t="str">
        <f t="shared" si="12"/>
        <v/>
      </c>
      <c r="I404" s="65" t="str">
        <f t="shared" si="13"/>
        <v/>
      </c>
      <c r="J404" s="64"/>
    </row>
    <row r="405" spans="1:10">
      <c r="A405" s="63"/>
      <c r="B405" s="64"/>
      <c r="C405" s="64"/>
      <c r="D405" s="64"/>
      <c r="E405" s="65"/>
      <c r="F405" s="64"/>
      <c r="G405" s="64"/>
      <c r="H405" s="64" t="str">
        <f t="shared" si="12"/>
        <v/>
      </c>
      <c r="I405" s="65" t="str">
        <f t="shared" si="13"/>
        <v/>
      </c>
      <c r="J405" s="64"/>
    </row>
    <row r="406" spans="1:10">
      <c r="A406" s="63"/>
      <c r="B406" s="64"/>
      <c r="C406" s="64"/>
      <c r="D406" s="64"/>
      <c r="E406" s="65"/>
      <c r="F406" s="64"/>
      <c r="G406" s="64"/>
      <c r="H406" s="64" t="str">
        <f t="shared" si="12"/>
        <v/>
      </c>
      <c r="I406" s="65" t="str">
        <f t="shared" si="13"/>
        <v/>
      </c>
      <c r="J406" s="64"/>
    </row>
    <row r="407" spans="1:10">
      <c r="A407" s="63"/>
      <c r="B407" s="64"/>
      <c r="C407" s="64"/>
      <c r="D407" s="64"/>
      <c r="E407" s="65"/>
      <c r="F407" s="64"/>
      <c r="G407" s="64"/>
      <c r="H407" s="64" t="str">
        <f t="shared" si="12"/>
        <v/>
      </c>
      <c r="I407" s="65" t="str">
        <f t="shared" si="13"/>
        <v/>
      </c>
      <c r="J407" s="64"/>
    </row>
    <row r="408" spans="1:10">
      <c r="A408" s="63"/>
      <c r="B408" s="64"/>
      <c r="C408" s="64"/>
      <c r="D408" s="64"/>
      <c r="E408" s="65"/>
      <c r="F408" s="64"/>
      <c r="G408" s="64"/>
      <c r="H408" s="64" t="str">
        <f t="shared" si="12"/>
        <v/>
      </c>
      <c r="I408" s="65" t="str">
        <f t="shared" si="13"/>
        <v/>
      </c>
      <c r="J408" s="64"/>
    </row>
    <row r="409" spans="1:10">
      <c r="A409" s="63"/>
      <c r="B409" s="64"/>
      <c r="C409" s="64"/>
      <c r="D409" s="64"/>
      <c r="E409" s="65"/>
      <c r="F409" s="64"/>
      <c r="G409" s="64"/>
      <c r="H409" s="64" t="str">
        <f t="shared" si="12"/>
        <v/>
      </c>
      <c r="I409" s="65" t="str">
        <f t="shared" si="13"/>
        <v/>
      </c>
      <c r="J409" s="64"/>
    </row>
    <row r="410" spans="1:10">
      <c r="A410" s="63"/>
      <c r="B410" s="64"/>
      <c r="C410" s="64"/>
      <c r="D410" s="64"/>
      <c r="E410" s="65"/>
      <c r="F410" s="64"/>
      <c r="G410" s="64"/>
      <c r="H410" s="64" t="str">
        <f t="shared" si="12"/>
        <v/>
      </c>
      <c r="I410" s="65" t="str">
        <f t="shared" si="13"/>
        <v/>
      </c>
      <c r="J410" s="64"/>
    </row>
    <row r="411" spans="1:10">
      <c r="A411" s="63"/>
      <c r="B411" s="64"/>
      <c r="C411" s="64"/>
      <c r="D411" s="64"/>
      <c r="E411" s="65"/>
      <c r="F411" s="64"/>
      <c r="G411" s="64"/>
      <c r="H411" s="64" t="str">
        <f t="shared" si="12"/>
        <v/>
      </c>
      <c r="I411" s="65" t="str">
        <f t="shared" si="13"/>
        <v/>
      </c>
      <c r="J411" s="64"/>
    </row>
    <row r="412" spans="1:10">
      <c r="A412" s="63"/>
      <c r="B412" s="64"/>
      <c r="C412" s="64"/>
      <c r="D412" s="64"/>
      <c r="E412" s="65"/>
      <c r="F412" s="64"/>
      <c r="G412" s="64"/>
      <c r="H412" s="64" t="str">
        <f t="shared" si="12"/>
        <v/>
      </c>
      <c r="I412" s="65" t="str">
        <f t="shared" si="13"/>
        <v/>
      </c>
      <c r="J412" s="64"/>
    </row>
    <row r="413" spans="1:10">
      <c r="A413" s="63"/>
      <c r="B413" s="64"/>
      <c r="C413" s="64"/>
      <c r="D413" s="64"/>
      <c r="E413" s="65"/>
      <c r="F413" s="64"/>
      <c r="G413" s="64"/>
      <c r="H413" s="64" t="str">
        <f t="shared" si="12"/>
        <v/>
      </c>
      <c r="I413" s="65" t="str">
        <f t="shared" si="13"/>
        <v/>
      </c>
      <c r="J413" s="64"/>
    </row>
    <row r="414" spans="1:10">
      <c r="A414" s="63"/>
      <c r="B414" s="64"/>
      <c r="C414" s="64"/>
      <c r="D414" s="64"/>
      <c r="E414" s="65"/>
      <c r="F414" s="64"/>
      <c r="G414" s="64"/>
      <c r="H414" s="64" t="str">
        <f t="shared" si="12"/>
        <v/>
      </c>
      <c r="I414" s="65" t="str">
        <f t="shared" si="13"/>
        <v/>
      </c>
      <c r="J414" s="64"/>
    </row>
    <row r="415" spans="1:10">
      <c r="A415" s="63"/>
      <c r="B415" s="64"/>
      <c r="C415" s="64"/>
      <c r="D415" s="64"/>
      <c r="E415" s="65"/>
      <c r="F415" s="64"/>
      <c r="G415" s="64"/>
      <c r="H415" s="64" t="str">
        <f t="shared" si="12"/>
        <v/>
      </c>
      <c r="I415" s="65" t="str">
        <f t="shared" si="13"/>
        <v/>
      </c>
      <c r="J415" s="64"/>
    </row>
    <row r="416" spans="1:10">
      <c r="A416" s="63"/>
      <c r="B416" s="64"/>
      <c r="C416" s="64"/>
      <c r="D416" s="64"/>
      <c r="E416" s="65"/>
      <c r="F416" s="64"/>
      <c r="G416" s="64"/>
      <c r="H416" s="64" t="str">
        <f t="shared" si="12"/>
        <v/>
      </c>
      <c r="I416" s="65" t="str">
        <f t="shared" si="13"/>
        <v/>
      </c>
      <c r="J416" s="64"/>
    </row>
    <row r="417" spans="1:10">
      <c r="A417" s="63"/>
      <c r="B417" s="64"/>
      <c r="C417" s="64"/>
      <c r="D417" s="64"/>
      <c r="E417" s="65"/>
      <c r="F417" s="64"/>
      <c r="G417" s="64"/>
      <c r="H417" s="64" t="str">
        <f t="shared" si="12"/>
        <v/>
      </c>
      <c r="I417" s="65" t="str">
        <f t="shared" si="13"/>
        <v/>
      </c>
      <c r="J417" s="64"/>
    </row>
    <row r="418" spans="1:10">
      <c r="A418" s="63"/>
      <c r="B418" s="64"/>
      <c r="C418" s="64"/>
      <c r="D418" s="64"/>
      <c r="E418" s="65"/>
      <c r="F418" s="64"/>
      <c r="G418" s="64"/>
      <c r="H418" s="64" t="str">
        <f t="shared" si="12"/>
        <v/>
      </c>
      <c r="I418" s="65" t="str">
        <f t="shared" si="13"/>
        <v/>
      </c>
      <c r="J418" s="64"/>
    </row>
    <row r="419" spans="1:10">
      <c r="A419" s="63"/>
      <c r="B419" s="64"/>
      <c r="C419" s="64"/>
      <c r="D419" s="64"/>
      <c r="E419" s="65"/>
      <c r="F419" s="64"/>
      <c r="G419" s="64"/>
      <c r="H419" s="64" t="str">
        <f t="shared" si="12"/>
        <v/>
      </c>
      <c r="I419" s="65" t="str">
        <f t="shared" si="13"/>
        <v/>
      </c>
      <c r="J419" s="64"/>
    </row>
    <row r="420" spans="1:10">
      <c r="A420" s="63"/>
      <c r="B420" s="64"/>
      <c r="C420" s="64"/>
      <c r="D420" s="64"/>
      <c r="E420" s="65"/>
      <c r="F420" s="64"/>
      <c r="G420" s="64"/>
      <c r="H420" s="64" t="str">
        <f t="shared" si="12"/>
        <v/>
      </c>
      <c r="I420" s="65" t="str">
        <f t="shared" si="13"/>
        <v/>
      </c>
      <c r="J420" s="64"/>
    </row>
    <row r="421" spans="1:10">
      <c r="A421" s="63"/>
      <c r="B421" s="64"/>
      <c r="C421" s="64"/>
      <c r="D421" s="64"/>
      <c r="E421" s="65"/>
      <c r="F421" s="64"/>
      <c r="G421" s="64"/>
      <c r="H421" s="64" t="str">
        <f t="shared" si="12"/>
        <v/>
      </c>
      <c r="I421" s="65" t="str">
        <f t="shared" si="13"/>
        <v/>
      </c>
      <c r="J421" s="64"/>
    </row>
    <row r="422" spans="1:10">
      <c r="A422" s="63"/>
      <c r="B422" s="64"/>
      <c r="C422" s="64"/>
      <c r="D422" s="64"/>
      <c r="E422" s="65"/>
      <c r="F422" s="64"/>
      <c r="G422" s="64"/>
      <c r="H422" s="64" t="str">
        <f t="shared" si="12"/>
        <v/>
      </c>
      <c r="I422" s="65" t="str">
        <f t="shared" si="13"/>
        <v/>
      </c>
      <c r="J422" s="64"/>
    </row>
    <row r="423" spans="1:10">
      <c r="A423" s="63"/>
      <c r="B423" s="64"/>
      <c r="C423" s="64"/>
      <c r="D423" s="64"/>
      <c r="E423" s="65"/>
      <c r="F423" s="64"/>
      <c r="G423" s="64"/>
      <c r="H423" s="64" t="str">
        <f t="shared" si="12"/>
        <v/>
      </c>
      <c r="I423" s="65" t="str">
        <f t="shared" si="13"/>
        <v/>
      </c>
      <c r="J423" s="64"/>
    </row>
    <row r="424" spans="1:10">
      <c r="A424" s="63"/>
      <c r="B424" s="64"/>
      <c r="C424" s="64"/>
      <c r="D424" s="64"/>
      <c r="E424" s="65"/>
      <c r="F424" s="64"/>
      <c r="G424" s="64"/>
      <c r="H424" s="64" t="str">
        <f t="shared" si="12"/>
        <v/>
      </c>
      <c r="I424" s="65" t="str">
        <f t="shared" si="13"/>
        <v/>
      </c>
      <c r="J424" s="64"/>
    </row>
    <row r="425" spans="1:10">
      <c r="A425" s="63"/>
      <c r="B425" s="64"/>
      <c r="C425" s="64"/>
      <c r="D425" s="64"/>
      <c r="E425" s="65"/>
      <c r="F425" s="64"/>
      <c r="G425" s="64"/>
      <c r="H425" s="64" t="str">
        <f t="shared" si="12"/>
        <v/>
      </c>
      <c r="I425" s="65" t="str">
        <f t="shared" si="13"/>
        <v/>
      </c>
      <c r="J425" s="64"/>
    </row>
    <row r="426" spans="1:10">
      <c r="A426" s="63"/>
      <c r="B426" s="64"/>
      <c r="C426" s="64"/>
      <c r="D426" s="64"/>
      <c r="E426" s="65"/>
      <c r="F426" s="64"/>
      <c r="G426" s="64"/>
      <c r="H426" s="64" t="str">
        <f t="shared" si="12"/>
        <v/>
      </c>
      <c r="I426" s="65" t="str">
        <f t="shared" si="13"/>
        <v/>
      </c>
      <c r="J426" s="64"/>
    </row>
    <row r="427" spans="1:10">
      <c r="A427" s="63"/>
      <c r="B427" s="64"/>
      <c r="C427" s="64"/>
      <c r="D427" s="64"/>
      <c r="E427" s="65"/>
      <c r="F427" s="64"/>
      <c r="G427" s="64"/>
      <c r="H427" s="64" t="str">
        <f t="shared" si="12"/>
        <v/>
      </c>
      <c r="I427" s="65" t="str">
        <f t="shared" si="13"/>
        <v/>
      </c>
      <c r="J427" s="64"/>
    </row>
    <row r="428" spans="1:10">
      <c r="A428" s="63"/>
      <c r="B428" s="64"/>
      <c r="C428" s="64"/>
      <c r="D428" s="64"/>
      <c r="E428" s="65"/>
      <c r="F428" s="64"/>
      <c r="G428" s="64"/>
      <c r="H428" s="64" t="str">
        <f t="shared" si="12"/>
        <v/>
      </c>
      <c r="I428" s="65" t="str">
        <f t="shared" si="13"/>
        <v/>
      </c>
      <c r="J428" s="64"/>
    </row>
    <row r="429" spans="1:10">
      <c r="A429" s="63"/>
      <c r="B429" s="64"/>
      <c r="C429" s="64"/>
      <c r="D429" s="64"/>
      <c r="E429" s="65"/>
      <c r="F429" s="64"/>
      <c r="G429" s="64"/>
      <c r="H429" s="64" t="str">
        <f t="shared" si="12"/>
        <v/>
      </c>
      <c r="I429" s="65" t="str">
        <f t="shared" si="13"/>
        <v/>
      </c>
      <c r="J429" s="64"/>
    </row>
    <row r="430" spans="1:10">
      <c r="A430" s="63"/>
      <c r="B430" s="64"/>
      <c r="C430" s="64"/>
      <c r="D430" s="64"/>
      <c r="E430" s="65"/>
      <c r="F430" s="64"/>
      <c r="G430" s="64"/>
      <c r="H430" s="64" t="str">
        <f t="shared" si="12"/>
        <v/>
      </c>
      <c r="I430" s="65" t="str">
        <f t="shared" si="13"/>
        <v/>
      </c>
      <c r="J430" s="64"/>
    </row>
    <row r="431" spans="1:10">
      <c r="A431" s="63"/>
      <c r="B431" s="64"/>
      <c r="C431" s="64"/>
      <c r="D431" s="64"/>
      <c r="E431" s="65"/>
      <c r="F431" s="64"/>
      <c r="G431" s="64"/>
      <c r="H431" s="64" t="str">
        <f t="shared" si="12"/>
        <v/>
      </c>
      <c r="I431" s="65" t="str">
        <f t="shared" si="13"/>
        <v/>
      </c>
      <c r="J431" s="64"/>
    </row>
    <row r="432" spans="1:10">
      <c r="A432" s="63"/>
      <c r="B432" s="64"/>
      <c r="C432" s="64"/>
      <c r="D432" s="64"/>
      <c r="E432" s="65"/>
      <c r="F432" s="64"/>
      <c r="G432" s="64"/>
      <c r="H432" s="64" t="str">
        <f t="shared" si="12"/>
        <v/>
      </c>
      <c r="I432" s="65" t="str">
        <f t="shared" si="13"/>
        <v/>
      </c>
      <c r="J432" s="64"/>
    </row>
    <row r="433" spans="1:10">
      <c r="A433" s="63"/>
      <c r="B433" s="64"/>
      <c r="C433" s="64"/>
      <c r="D433" s="64"/>
      <c r="E433" s="65"/>
      <c r="F433" s="64"/>
      <c r="G433" s="64"/>
      <c r="H433" s="64" t="str">
        <f t="shared" si="12"/>
        <v/>
      </c>
      <c r="I433" s="65" t="str">
        <f t="shared" si="13"/>
        <v/>
      </c>
      <c r="J433" s="64"/>
    </row>
    <row r="434" spans="1:10">
      <c r="A434" s="63"/>
      <c r="B434" s="64"/>
      <c r="C434" s="64"/>
      <c r="D434" s="64"/>
      <c r="E434" s="65"/>
      <c r="F434" s="64"/>
      <c r="G434" s="64"/>
      <c r="H434" s="64" t="str">
        <f t="shared" si="12"/>
        <v/>
      </c>
      <c r="I434" s="65" t="str">
        <f t="shared" si="13"/>
        <v/>
      </c>
      <c r="J434" s="64"/>
    </row>
    <row r="435" spans="1:10">
      <c r="A435" s="63"/>
      <c r="B435" s="64"/>
      <c r="C435" s="64"/>
      <c r="D435" s="64"/>
      <c r="E435" s="65"/>
      <c r="F435" s="64"/>
      <c r="G435" s="64"/>
      <c r="H435" s="64" t="str">
        <f t="shared" si="12"/>
        <v/>
      </c>
      <c r="I435" s="65" t="str">
        <f t="shared" si="13"/>
        <v/>
      </c>
      <c r="J435" s="64"/>
    </row>
    <row r="436" spans="1:10">
      <c r="A436" s="63"/>
      <c r="B436" s="64"/>
      <c r="C436" s="64"/>
      <c r="D436" s="64"/>
      <c r="E436" s="65"/>
      <c r="F436" s="64"/>
      <c r="G436" s="64"/>
      <c r="H436" s="64" t="str">
        <f t="shared" si="12"/>
        <v/>
      </c>
      <c r="I436" s="65" t="str">
        <f t="shared" si="13"/>
        <v/>
      </c>
      <c r="J436" s="64"/>
    </row>
    <row r="437" spans="1:10">
      <c r="A437" s="63"/>
      <c r="B437" s="64"/>
      <c r="C437" s="64"/>
      <c r="D437" s="64"/>
      <c r="E437" s="65"/>
      <c r="F437" s="64"/>
      <c r="G437" s="64"/>
      <c r="H437" s="64" t="str">
        <f t="shared" si="12"/>
        <v/>
      </c>
      <c r="I437" s="65" t="str">
        <f t="shared" si="13"/>
        <v/>
      </c>
      <c r="J437" s="64"/>
    </row>
    <row r="438" spans="1:10">
      <c r="A438" s="63"/>
      <c r="B438" s="64"/>
      <c r="C438" s="64"/>
      <c r="D438" s="64"/>
      <c r="E438" s="65"/>
      <c r="F438" s="64"/>
      <c r="G438" s="64"/>
      <c r="H438" s="64" t="str">
        <f t="shared" si="12"/>
        <v/>
      </c>
      <c r="I438" s="65" t="str">
        <f t="shared" si="13"/>
        <v/>
      </c>
      <c r="J438" s="64"/>
    </row>
    <row r="439" spans="1:10">
      <c r="A439" s="63"/>
      <c r="B439" s="64"/>
      <c r="C439" s="64"/>
      <c r="D439" s="64"/>
      <c r="E439" s="65"/>
      <c r="F439" s="64"/>
      <c r="G439" s="64"/>
      <c r="H439" s="64" t="str">
        <f t="shared" si="12"/>
        <v/>
      </c>
      <c r="I439" s="65" t="str">
        <f t="shared" si="13"/>
        <v/>
      </c>
      <c r="J439" s="64"/>
    </row>
    <row r="440" spans="1:10">
      <c r="A440" s="63"/>
      <c r="B440" s="64"/>
      <c r="C440" s="64"/>
      <c r="D440" s="64"/>
      <c r="E440" s="65"/>
      <c r="F440" s="64"/>
      <c r="G440" s="64"/>
      <c r="H440" s="64" t="str">
        <f t="shared" si="12"/>
        <v/>
      </c>
      <c r="I440" s="65" t="str">
        <f t="shared" si="13"/>
        <v/>
      </c>
      <c r="J440" s="64"/>
    </row>
    <row r="441" spans="1:10">
      <c r="A441" s="63"/>
      <c r="B441" s="64"/>
      <c r="C441" s="64"/>
      <c r="D441" s="64"/>
      <c r="E441" s="65"/>
      <c r="F441" s="64"/>
      <c r="G441" s="64"/>
      <c r="H441" s="64" t="str">
        <f t="shared" si="12"/>
        <v/>
      </c>
      <c r="I441" s="65" t="str">
        <f t="shared" si="13"/>
        <v/>
      </c>
      <c r="J441" s="64"/>
    </row>
    <row r="442" spans="1:10">
      <c r="A442" s="63"/>
      <c r="B442" s="64"/>
      <c r="C442" s="64"/>
      <c r="D442" s="64"/>
      <c r="E442" s="65"/>
      <c r="F442" s="64"/>
      <c r="G442" s="64"/>
      <c r="H442" s="64" t="str">
        <f t="shared" si="12"/>
        <v/>
      </c>
      <c r="I442" s="65" t="str">
        <f t="shared" si="13"/>
        <v/>
      </c>
      <c r="J442" s="64"/>
    </row>
    <row r="443" spans="1:10">
      <c r="A443" s="63"/>
      <c r="B443" s="64"/>
      <c r="C443" s="64"/>
      <c r="D443" s="64"/>
      <c r="E443" s="65"/>
      <c r="F443" s="64"/>
      <c r="G443" s="64"/>
      <c r="H443" s="64" t="str">
        <f t="shared" si="12"/>
        <v/>
      </c>
      <c r="I443" s="65" t="str">
        <f t="shared" si="13"/>
        <v/>
      </c>
      <c r="J443" s="64"/>
    </row>
    <row r="444" spans="1:10">
      <c r="A444" s="63"/>
      <c r="B444" s="64"/>
      <c r="C444" s="64"/>
      <c r="D444" s="64"/>
      <c r="E444" s="65"/>
      <c r="F444" s="64"/>
      <c r="G444" s="64"/>
      <c r="H444" s="64" t="str">
        <f t="shared" si="12"/>
        <v/>
      </c>
      <c r="I444" s="65" t="str">
        <f t="shared" si="13"/>
        <v/>
      </c>
      <c r="J444" s="64"/>
    </row>
    <row r="445" spans="1:10">
      <c r="A445" s="63"/>
      <c r="B445" s="64"/>
      <c r="C445" s="64"/>
      <c r="D445" s="64"/>
      <c r="E445" s="65"/>
      <c r="F445" s="64"/>
      <c r="G445" s="64"/>
      <c r="H445" s="64" t="str">
        <f t="shared" si="12"/>
        <v/>
      </c>
      <c r="I445" s="65" t="str">
        <f t="shared" si="13"/>
        <v/>
      </c>
      <c r="J445" s="64"/>
    </row>
    <row r="446" spans="1:10">
      <c r="A446" s="63"/>
      <c r="B446" s="64"/>
      <c r="C446" s="64"/>
      <c r="D446" s="64"/>
      <c r="E446" s="65"/>
      <c r="F446" s="64"/>
      <c r="G446" s="64"/>
      <c r="H446" s="64" t="str">
        <f t="shared" si="12"/>
        <v/>
      </c>
      <c r="I446" s="65" t="str">
        <f t="shared" si="13"/>
        <v/>
      </c>
      <c r="J446" s="64"/>
    </row>
    <row r="447" spans="1:10">
      <c r="A447" s="63"/>
      <c r="B447" s="64"/>
      <c r="C447" s="64"/>
      <c r="D447" s="64"/>
      <c r="E447" s="65"/>
      <c r="F447" s="64"/>
      <c r="G447" s="64"/>
      <c r="H447" s="64" t="str">
        <f t="shared" si="12"/>
        <v/>
      </c>
      <c r="I447" s="65" t="str">
        <f t="shared" si="13"/>
        <v/>
      </c>
      <c r="J447" s="64"/>
    </row>
    <row r="448" spans="1:10">
      <c r="A448" s="63"/>
      <c r="B448" s="64"/>
      <c r="C448" s="64"/>
      <c r="D448" s="64"/>
      <c r="E448" s="65"/>
      <c r="F448" s="64"/>
      <c r="G448" s="64"/>
      <c r="H448" s="64" t="str">
        <f t="shared" si="12"/>
        <v/>
      </c>
      <c r="I448" s="65" t="str">
        <f t="shared" si="13"/>
        <v/>
      </c>
      <c r="J448" s="64"/>
    </row>
    <row r="449" spans="1:10">
      <c r="A449" s="63"/>
      <c r="B449" s="64"/>
      <c r="C449" s="64"/>
      <c r="D449" s="64"/>
      <c r="E449" s="65"/>
      <c r="F449" s="64"/>
      <c r="G449" s="64"/>
      <c r="H449" s="64" t="str">
        <f t="shared" si="12"/>
        <v/>
      </c>
      <c r="I449" s="65" t="str">
        <f t="shared" si="13"/>
        <v/>
      </c>
      <c r="J449" s="64"/>
    </row>
    <row r="450" spans="1:10">
      <c r="A450" s="63"/>
      <c r="B450" s="64"/>
      <c r="C450" s="64"/>
      <c r="D450" s="64"/>
      <c r="E450" s="65"/>
      <c r="F450" s="64"/>
      <c r="G450" s="64"/>
      <c r="H450" s="64" t="str">
        <f t="shared" si="12"/>
        <v/>
      </c>
      <c r="I450" s="65" t="str">
        <f t="shared" si="13"/>
        <v/>
      </c>
      <c r="J450" s="64"/>
    </row>
    <row r="451" spans="1:10">
      <c r="A451" s="63"/>
      <c r="B451" s="64"/>
      <c r="C451" s="64"/>
      <c r="D451" s="64"/>
      <c r="E451" s="65"/>
      <c r="F451" s="64"/>
      <c r="G451" s="64"/>
      <c r="H451" s="64" t="str">
        <f t="shared" si="12"/>
        <v/>
      </c>
      <c r="I451" s="65" t="str">
        <f t="shared" si="13"/>
        <v/>
      </c>
      <c r="J451" s="64"/>
    </row>
    <row r="452" spans="1:10">
      <c r="A452" s="63"/>
      <c r="B452" s="64"/>
      <c r="C452" s="64"/>
      <c r="D452" s="64"/>
      <c r="E452" s="65"/>
      <c r="F452" s="64"/>
      <c r="G452" s="64"/>
      <c r="H452" s="64" t="str">
        <f t="shared" si="12"/>
        <v/>
      </c>
      <c r="I452" s="65" t="str">
        <f t="shared" si="13"/>
        <v/>
      </c>
      <c r="J452" s="64"/>
    </row>
    <row r="453" spans="1:10">
      <c r="A453" s="63"/>
      <c r="B453" s="64"/>
      <c r="C453" s="64"/>
      <c r="D453" s="64"/>
      <c r="E453" s="65"/>
      <c r="F453" s="64"/>
      <c r="G453" s="64"/>
      <c r="H453" s="64" t="str">
        <f t="shared" si="12"/>
        <v/>
      </c>
      <c r="I453" s="65" t="str">
        <f t="shared" si="13"/>
        <v/>
      </c>
      <c r="J453" s="64"/>
    </row>
    <row r="454" spans="1:10">
      <c r="A454" s="63"/>
      <c r="B454" s="64"/>
      <c r="C454" s="64"/>
      <c r="D454" s="64"/>
      <c r="E454" s="65"/>
      <c r="F454" s="64"/>
      <c r="G454" s="64"/>
      <c r="H454" s="64" t="str">
        <f t="shared" si="12"/>
        <v/>
      </c>
      <c r="I454" s="65" t="str">
        <f t="shared" si="13"/>
        <v/>
      </c>
      <c r="J454" s="64"/>
    </row>
    <row r="455" spans="1:10">
      <c r="A455" s="63"/>
      <c r="B455" s="64"/>
      <c r="C455" s="64"/>
      <c r="D455" s="64"/>
      <c r="E455" s="65"/>
      <c r="F455" s="64"/>
      <c r="G455" s="64"/>
      <c r="H455" s="64" t="str">
        <f t="shared" si="12"/>
        <v/>
      </c>
      <c r="I455" s="65" t="str">
        <f t="shared" si="13"/>
        <v/>
      </c>
      <c r="J455" s="64"/>
    </row>
    <row r="456" spans="1:10">
      <c r="A456" s="63"/>
      <c r="B456" s="64"/>
      <c r="C456" s="64"/>
      <c r="D456" s="64"/>
      <c r="E456" s="65"/>
      <c r="F456" s="64"/>
      <c r="G456" s="64"/>
      <c r="H456" s="64" t="str">
        <f t="shared" si="12"/>
        <v/>
      </c>
      <c r="I456" s="65" t="str">
        <f t="shared" si="13"/>
        <v/>
      </c>
      <c r="J456" s="64"/>
    </row>
    <row r="457" spans="1:10">
      <c r="A457" s="63"/>
      <c r="B457" s="64"/>
      <c r="C457" s="64"/>
      <c r="D457" s="64"/>
      <c r="E457" s="65"/>
      <c r="F457" s="64"/>
      <c r="G457" s="64"/>
      <c r="H457" s="64" t="str">
        <f t="shared" si="12"/>
        <v/>
      </c>
      <c r="I457" s="65" t="str">
        <f t="shared" si="13"/>
        <v/>
      </c>
      <c r="J457" s="64"/>
    </row>
    <row r="458" spans="1:10">
      <c r="A458" s="63"/>
      <c r="B458" s="64"/>
      <c r="C458" s="64"/>
      <c r="D458" s="64"/>
      <c r="E458" s="65"/>
      <c r="F458" s="64"/>
      <c r="G458" s="64"/>
      <c r="H458" s="64" t="str">
        <f t="shared" si="12"/>
        <v/>
      </c>
      <c r="I458" s="65" t="str">
        <f t="shared" si="13"/>
        <v/>
      </c>
      <c r="J458" s="64"/>
    </row>
    <row r="459" spans="1:10">
      <c r="A459" s="63"/>
      <c r="B459" s="64"/>
      <c r="C459" s="64"/>
      <c r="D459" s="64"/>
      <c r="E459" s="65"/>
      <c r="F459" s="64"/>
      <c r="G459" s="64"/>
      <c r="H459" s="64" t="str">
        <f t="shared" ref="H459:H510" si="14">IF(A459="","",TEXT(A459,"mmm-yyyy"))</f>
        <v/>
      </c>
      <c r="I459" s="65" t="str">
        <f t="shared" ref="I459:I510" si="15">IF(OR(B459="",E459=""),"",IF(B459="Ingreso",E459,-E459))</f>
        <v/>
      </c>
      <c r="J459" s="64"/>
    </row>
    <row r="460" spans="1:10">
      <c r="A460" s="63"/>
      <c r="B460" s="64"/>
      <c r="C460" s="64"/>
      <c r="D460" s="64"/>
      <c r="E460" s="65"/>
      <c r="F460" s="64"/>
      <c r="G460" s="64"/>
      <c r="H460" s="64" t="str">
        <f t="shared" si="14"/>
        <v/>
      </c>
      <c r="I460" s="65" t="str">
        <f t="shared" si="15"/>
        <v/>
      </c>
      <c r="J460" s="64"/>
    </row>
    <row r="461" spans="1:10">
      <c r="A461" s="63"/>
      <c r="B461" s="64"/>
      <c r="C461" s="64"/>
      <c r="D461" s="64"/>
      <c r="E461" s="65"/>
      <c r="F461" s="64"/>
      <c r="G461" s="64"/>
      <c r="H461" s="64" t="str">
        <f t="shared" si="14"/>
        <v/>
      </c>
      <c r="I461" s="65" t="str">
        <f t="shared" si="15"/>
        <v/>
      </c>
      <c r="J461" s="64"/>
    </row>
    <row r="462" spans="1:10">
      <c r="A462" s="63"/>
      <c r="B462" s="64"/>
      <c r="C462" s="64"/>
      <c r="D462" s="64"/>
      <c r="E462" s="65"/>
      <c r="F462" s="64"/>
      <c r="G462" s="64"/>
      <c r="H462" s="64" t="str">
        <f t="shared" si="14"/>
        <v/>
      </c>
      <c r="I462" s="65" t="str">
        <f t="shared" si="15"/>
        <v/>
      </c>
      <c r="J462" s="64"/>
    </row>
    <row r="463" spans="1:10">
      <c r="A463" s="63"/>
      <c r="B463" s="64"/>
      <c r="C463" s="64"/>
      <c r="D463" s="64"/>
      <c r="E463" s="65"/>
      <c r="F463" s="64"/>
      <c r="G463" s="64"/>
      <c r="H463" s="64" t="str">
        <f t="shared" si="14"/>
        <v/>
      </c>
      <c r="I463" s="65" t="str">
        <f t="shared" si="15"/>
        <v/>
      </c>
      <c r="J463" s="64"/>
    </row>
    <row r="464" spans="1:10">
      <c r="A464" s="63"/>
      <c r="B464" s="64"/>
      <c r="C464" s="64"/>
      <c r="D464" s="64"/>
      <c r="E464" s="65"/>
      <c r="F464" s="64"/>
      <c r="G464" s="64"/>
      <c r="H464" s="64" t="str">
        <f t="shared" si="14"/>
        <v/>
      </c>
      <c r="I464" s="65" t="str">
        <f t="shared" si="15"/>
        <v/>
      </c>
      <c r="J464" s="64"/>
    </row>
    <row r="465" spans="1:10">
      <c r="A465" s="63"/>
      <c r="B465" s="64"/>
      <c r="C465" s="64"/>
      <c r="D465" s="64"/>
      <c r="E465" s="65"/>
      <c r="F465" s="64"/>
      <c r="G465" s="64"/>
      <c r="H465" s="64" t="str">
        <f t="shared" si="14"/>
        <v/>
      </c>
      <c r="I465" s="65" t="str">
        <f t="shared" si="15"/>
        <v/>
      </c>
      <c r="J465" s="64"/>
    </row>
    <row r="466" spans="1:10">
      <c r="A466" s="63"/>
      <c r="B466" s="64"/>
      <c r="C466" s="64"/>
      <c r="D466" s="64"/>
      <c r="E466" s="65"/>
      <c r="F466" s="64"/>
      <c r="G466" s="64"/>
      <c r="H466" s="64" t="str">
        <f t="shared" si="14"/>
        <v/>
      </c>
      <c r="I466" s="65" t="str">
        <f t="shared" si="15"/>
        <v/>
      </c>
      <c r="J466" s="64"/>
    </row>
    <row r="467" spans="1:10">
      <c r="A467" s="63"/>
      <c r="B467" s="64"/>
      <c r="C467" s="64"/>
      <c r="D467" s="64"/>
      <c r="E467" s="65"/>
      <c r="F467" s="64"/>
      <c r="G467" s="64"/>
      <c r="H467" s="64" t="str">
        <f t="shared" si="14"/>
        <v/>
      </c>
      <c r="I467" s="65" t="str">
        <f t="shared" si="15"/>
        <v/>
      </c>
      <c r="J467" s="64"/>
    </row>
    <row r="468" spans="1:10">
      <c r="A468" s="63"/>
      <c r="B468" s="64"/>
      <c r="C468" s="64"/>
      <c r="D468" s="64"/>
      <c r="E468" s="65"/>
      <c r="F468" s="64"/>
      <c r="G468" s="64"/>
      <c r="H468" s="64" t="str">
        <f t="shared" si="14"/>
        <v/>
      </c>
      <c r="I468" s="65" t="str">
        <f t="shared" si="15"/>
        <v/>
      </c>
      <c r="J468" s="64"/>
    </row>
    <row r="469" spans="1:10">
      <c r="A469" s="63"/>
      <c r="B469" s="64"/>
      <c r="C469" s="64"/>
      <c r="D469" s="64"/>
      <c r="E469" s="65"/>
      <c r="F469" s="64"/>
      <c r="G469" s="64"/>
      <c r="H469" s="64" t="str">
        <f t="shared" si="14"/>
        <v/>
      </c>
      <c r="I469" s="65" t="str">
        <f t="shared" si="15"/>
        <v/>
      </c>
      <c r="J469" s="64"/>
    </row>
    <row r="470" spans="1:10">
      <c r="A470" s="63"/>
      <c r="B470" s="64"/>
      <c r="C470" s="64"/>
      <c r="D470" s="64"/>
      <c r="E470" s="65"/>
      <c r="F470" s="64"/>
      <c r="G470" s="64"/>
      <c r="H470" s="64" t="str">
        <f t="shared" si="14"/>
        <v/>
      </c>
      <c r="I470" s="65" t="str">
        <f t="shared" si="15"/>
        <v/>
      </c>
      <c r="J470" s="64"/>
    </row>
    <row r="471" spans="1:10">
      <c r="A471" s="63"/>
      <c r="B471" s="64"/>
      <c r="C471" s="64"/>
      <c r="D471" s="64"/>
      <c r="E471" s="65"/>
      <c r="F471" s="64"/>
      <c r="G471" s="64"/>
      <c r="H471" s="64" t="str">
        <f t="shared" si="14"/>
        <v/>
      </c>
      <c r="I471" s="65" t="str">
        <f t="shared" si="15"/>
        <v/>
      </c>
      <c r="J471" s="64"/>
    </row>
    <row r="472" spans="1:10">
      <c r="A472" s="63"/>
      <c r="B472" s="64"/>
      <c r="C472" s="64"/>
      <c r="D472" s="64"/>
      <c r="E472" s="65"/>
      <c r="F472" s="64"/>
      <c r="G472" s="64"/>
      <c r="H472" s="64" t="str">
        <f t="shared" si="14"/>
        <v/>
      </c>
      <c r="I472" s="65" t="str">
        <f t="shared" si="15"/>
        <v/>
      </c>
      <c r="J472" s="64"/>
    </row>
    <row r="473" spans="1:10">
      <c r="A473" s="63"/>
      <c r="B473" s="64"/>
      <c r="C473" s="64"/>
      <c r="D473" s="64"/>
      <c r="E473" s="65"/>
      <c r="F473" s="64"/>
      <c r="G473" s="64"/>
      <c r="H473" s="64" t="str">
        <f t="shared" si="14"/>
        <v/>
      </c>
      <c r="I473" s="65" t="str">
        <f t="shared" si="15"/>
        <v/>
      </c>
      <c r="J473" s="64"/>
    </row>
    <row r="474" spans="1:10">
      <c r="A474" s="63"/>
      <c r="B474" s="64"/>
      <c r="C474" s="64"/>
      <c r="D474" s="64"/>
      <c r="E474" s="65"/>
      <c r="F474" s="64"/>
      <c r="G474" s="64"/>
      <c r="H474" s="64" t="str">
        <f t="shared" si="14"/>
        <v/>
      </c>
      <c r="I474" s="65" t="str">
        <f t="shared" si="15"/>
        <v/>
      </c>
      <c r="J474" s="64"/>
    </row>
    <row r="475" spans="1:10">
      <c r="A475" s="63"/>
      <c r="B475" s="64"/>
      <c r="C475" s="64"/>
      <c r="D475" s="64"/>
      <c r="E475" s="65"/>
      <c r="F475" s="64"/>
      <c r="G475" s="64"/>
      <c r="H475" s="64" t="str">
        <f t="shared" si="14"/>
        <v/>
      </c>
      <c r="I475" s="65" t="str">
        <f t="shared" si="15"/>
        <v/>
      </c>
      <c r="J475" s="64"/>
    </row>
    <row r="476" spans="1:10">
      <c r="A476" s="63"/>
      <c r="B476" s="64"/>
      <c r="C476" s="64"/>
      <c r="D476" s="64"/>
      <c r="E476" s="65"/>
      <c r="F476" s="64"/>
      <c r="G476" s="64"/>
      <c r="H476" s="64" t="str">
        <f t="shared" si="14"/>
        <v/>
      </c>
      <c r="I476" s="65" t="str">
        <f t="shared" si="15"/>
        <v/>
      </c>
      <c r="J476" s="64"/>
    </row>
    <row r="477" spans="1:10">
      <c r="A477" s="63"/>
      <c r="B477" s="64"/>
      <c r="C477" s="64"/>
      <c r="D477" s="64"/>
      <c r="E477" s="65"/>
      <c r="F477" s="64"/>
      <c r="G477" s="64"/>
      <c r="H477" s="64" t="str">
        <f t="shared" si="14"/>
        <v/>
      </c>
      <c r="I477" s="65" t="str">
        <f t="shared" si="15"/>
        <v/>
      </c>
      <c r="J477" s="64"/>
    </row>
    <row r="478" spans="1:10">
      <c r="A478" s="63"/>
      <c r="B478" s="64"/>
      <c r="C478" s="64"/>
      <c r="D478" s="64"/>
      <c r="E478" s="65"/>
      <c r="F478" s="64"/>
      <c r="G478" s="64"/>
      <c r="H478" s="64" t="str">
        <f t="shared" si="14"/>
        <v/>
      </c>
      <c r="I478" s="65" t="str">
        <f t="shared" si="15"/>
        <v/>
      </c>
      <c r="J478" s="64"/>
    </row>
    <row r="479" spans="1:10">
      <c r="A479" s="63"/>
      <c r="B479" s="64"/>
      <c r="C479" s="64"/>
      <c r="D479" s="64"/>
      <c r="E479" s="65"/>
      <c r="F479" s="64"/>
      <c r="G479" s="64"/>
      <c r="H479" s="64" t="str">
        <f t="shared" si="14"/>
        <v/>
      </c>
      <c r="I479" s="65" t="str">
        <f t="shared" si="15"/>
        <v/>
      </c>
      <c r="J479" s="64"/>
    </row>
    <row r="480" spans="1:10">
      <c r="A480" s="63"/>
      <c r="B480" s="64"/>
      <c r="C480" s="64"/>
      <c r="D480" s="64"/>
      <c r="E480" s="65"/>
      <c r="F480" s="64"/>
      <c r="G480" s="64"/>
      <c r="H480" s="64" t="str">
        <f t="shared" si="14"/>
        <v/>
      </c>
      <c r="I480" s="65" t="str">
        <f t="shared" si="15"/>
        <v/>
      </c>
      <c r="J480" s="64"/>
    </row>
    <row r="481" spans="1:10">
      <c r="A481" s="63"/>
      <c r="B481" s="64"/>
      <c r="C481" s="64"/>
      <c r="D481" s="64"/>
      <c r="E481" s="65"/>
      <c r="F481" s="64"/>
      <c r="G481" s="64"/>
      <c r="H481" s="64" t="str">
        <f t="shared" si="14"/>
        <v/>
      </c>
      <c r="I481" s="65" t="str">
        <f t="shared" si="15"/>
        <v/>
      </c>
      <c r="J481" s="64"/>
    </row>
    <row r="482" spans="1:10">
      <c r="A482" s="63"/>
      <c r="B482" s="64"/>
      <c r="C482" s="64"/>
      <c r="D482" s="64"/>
      <c r="E482" s="65"/>
      <c r="F482" s="64"/>
      <c r="G482" s="64"/>
      <c r="H482" s="64" t="str">
        <f t="shared" si="14"/>
        <v/>
      </c>
      <c r="I482" s="65" t="str">
        <f t="shared" si="15"/>
        <v/>
      </c>
      <c r="J482" s="64"/>
    </row>
    <row r="483" spans="1:10">
      <c r="A483" s="63"/>
      <c r="B483" s="64"/>
      <c r="C483" s="64"/>
      <c r="D483" s="64"/>
      <c r="E483" s="65"/>
      <c r="F483" s="64"/>
      <c r="G483" s="64"/>
      <c r="H483" s="64" t="str">
        <f t="shared" si="14"/>
        <v/>
      </c>
      <c r="I483" s="65" t="str">
        <f t="shared" si="15"/>
        <v/>
      </c>
      <c r="J483" s="64"/>
    </row>
    <row r="484" spans="1:10">
      <c r="A484" s="63"/>
      <c r="B484" s="64"/>
      <c r="C484" s="64"/>
      <c r="D484" s="64"/>
      <c r="E484" s="65"/>
      <c r="F484" s="64"/>
      <c r="G484" s="64"/>
      <c r="H484" s="64" t="str">
        <f t="shared" si="14"/>
        <v/>
      </c>
      <c r="I484" s="65" t="str">
        <f t="shared" si="15"/>
        <v/>
      </c>
      <c r="J484" s="64"/>
    </row>
    <row r="485" spans="1:10">
      <c r="A485" s="63"/>
      <c r="B485" s="64"/>
      <c r="C485" s="64"/>
      <c r="D485" s="64"/>
      <c r="E485" s="65"/>
      <c r="F485" s="64"/>
      <c r="G485" s="64"/>
      <c r="H485" s="64" t="str">
        <f t="shared" si="14"/>
        <v/>
      </c>
      <c r="I485" s="65" t="str">
        <f t="shared" si="15"/>
        <v/>
      </c>
      <c r="J485" s="64"/>
    </row>
    <row r="486" spans="1:10">
      <c r="A486" s="63"/>
      <c r="B486" s="64"/>
      <c r="C486" s="64"/>
      <c r="D486" s="64"/>
      <c r="E486" s="65"/>
      <c r="F486" s="64"/>
      <c r="G486" s="64"/>
      <c r="H486" s="64" t="str">
        <f t="shared" si="14"/>
        <v/>
      </c>
      <c r="I486" s="65" t="str">
        <f t="shared" si="15"/>
        <v/>
      </c>
      <c r="J486" s="64"/>
    </row>
    <row r="487" spans="1:10">
      <c r="A487" s="63"/>
      <c r="B487" s="64"/>
      <c r="C487" s="64"/>
      <c r="D487" s="64"/>
      <c r="E487" s="65"/>
      <c r="F487" s="64"/>
      <c r="G487" s="64"/>
      <c r="H487" s="64" t="str">
        <f t="shared" si="14"/>
        <v/>
      </c>
      <c r="I487" s="65" t="str">
        <f t="shared" si="15"/>
        <v/>
      </c>
      <c r="J487" s="64"/>
    </row>
    <row r="488" spans="1:10">
      <c r="A488" s="63"/>
      <c r="B488" s="64"/>
      <c r="C488" s="64"/>
      <c r="D488" s="64"/>
      <c r="E488" s="65"/>
      <c r="F488" s="64"/>
      <c r="G488" s="64"/>
      <c r="H488" s="64" t="str">
        <f t="shared" si="14"/>
        <v/>
      </c>
      <c r="I488" s="65" t="str">
        <f t="shared" si="15"/>
        <v/>
      </c>
      <c r="J488" s="64"/>
    </row>
    <row r="489" spans="1:10">
      <c r="A489" s="63"/>
      <c r="B489" s="64"/>
      <c r="C489" s="64"/>
      <c r="D489" s="64"/>
      <c r="E489" s="65"/>
      <c r="F489" s="64"/>
      <c r="G489" s="64"/>
      <c r="H489" s="64" t="str">
        <f t="shared" si="14"/>
        <v/>
      </c>
      <c r="I489" s="65" t="str">
        <f t="shared" si="15"/>
        <v/>
      </c>
      <c r="J489" s="64"/>
    </row>
    <row r="490" spans="1:10">
      <c r="A490" s="63"/>
      <c r="B490" s="64"/>
      <c r="C490" s="64"/>
      <c r="D490" s="64"/>
      <c r="E490" s="65"/>
      <c r="F490" s="64"/>
      <c r="G490" s="64"/>
      <c r="H490" s="64" t="str">
        <f t="shared" si="14"/>
        <v/>
      </c>
      <c r="I490" s="65" t="str">
        <f t="shared" si="15"/>
        <v/>
      </c>
      <c r="J490" s="64"/>
    </row>
    <row r="491" spans="1:10">
      <c r="A491" s="63"/>
      <c r="B491" s="64"/>
      <c r="C491" s="64"/>
      <c r="D491" s="64"/>
      <c r="E491" s="65"/>
      <c r="F491" s="64"/>
      <c r="G491" s="64"/>
      <c r="H491" s="64" t="str">
        <f t="shared" si="14"/>
        <v/>
      </c>
      <c r="I491" s="65" t="str">
        <f t="shared" si="15"/>
        <v/>
      </c>
      <c r="J491" s="64"/>
    </row>
    <row r="492" spans="1:10">
      <c r="A492" s="63"/>
      <c r="B492" s="64"/>
      <c r="C492" s="64"/>
      <c r="D492" s="64"/>
      <c r="E492" s="65"/>
      <c r="F492" s="64"/>
      <c r="G492" s="64"/>
      <c r="H492" s="64" t="str">
        <f t="shared" si="14"/>
        <v/>
      </c>
      <c r="I492" s="65" t="str">
        <f t="shared" si="15"/>
        <v/>
      </c>
      <c r="J492" s="64"/>
    </row>
    <row r="493" spans="1:10">
      <c r="A493" s="63"/>
      <c r="B493" s="64"/>
      <c r="C493" s="64"/>
      <c r="D493" s="64"/>
      <c r="E493" s="65"/>
      <c r="F493" s="64"/>
      <c r="G493" s="64"/>
      <c r="H493" s="64" t="str">
        <f t="shared" si="14"/>
        <v/>
      </c>
      <c r="I493" s="65" t="str">
        <f t="shared" si="15"/>
        <v/>
      </c>
      <c r="J493" s="64"/>
    </row>
    <row r="494" spans="1:10">
      <c r="A494" s="63"/>
      <c r="B494" s="64"/>
      <c r="C494" s="64"/>
      <c r="D494" s="64"/>
      <c r="E494" s="65"/>
      <c r="F494" s="64"/>
      <c r="G494" s="64"/>
      <c r="H494" s="64" t="str">
        <f t="shared" si="14"/>
        <v/>
      </c>
      <c r="I494" s="65" t="str">
        <f t="shared" si="15"/>
        <v/>
      </c>
      <c r="J494" s="64"/>
    </row>
    <row r="495" spans="1:10">
      <c r="A495" s="63"/>
      <c r="B495" s="64"/>
      <c r="C495" s="64"/>
      <c r="D495" s="64"/>
      <c r="E495" s="65"/>
      <c r="F495" s="64"/>
      <c r="G495" s="64"/>
      <c r="H495" s="64" t="str">
        <f t="shared" si="14"/>
        <v/>
      </c>
      <c r="I495" s="65" t="str">
        <f t="shared" si="15"/>
        <v/>
      </c>
      <c r="J495" s="64"/>
    </row>
    <row r="496" spans="1:10">
      <c r="A496" s="63"/>
      <c r="B496" s="64"/>
      <c r="C496" s="64"/>
      <c r="D496" s="64"/>
      <c r="E496" s="65"/>
      <c r="F496" s="64"/>
      <c r="G496" s="64"/>
      <c r="H496" s="64" t="str">
        <f t="shared" si="14"/>
        <v/>
      </c>
      <c r="I496" s="65" t="str">
        <f t="shared" si="15"/>
        <v/>
      </c>
      <c r="J496" s="64"/>
    </row>
    <row r="497" spans="1:10">
      <c r="A497" s="63"/>
      <c r="B497" s="64"/>
      <c r="C497" s="64"/>
      <c r="D497" s="64"/>
      <c r="E497" s="65"/>
      <c r="F497" s="64"/>
      <c r="G497" s="64"/>
      <c r="H497" s="64" t="str">
        <f t="shared" si="14"/>
        <v/>
      </c>
      <c r="I497" s="65" t="str">
        <f t="shared" si="15"/>
        <v/>
      </c>
      <c r="J497" s="64"/>
    </row>
    <row r="498" spans="1:10">
      <c r="A498" s="63"/>
      <c r="B498" s="64"/>
      <c r="C498" s="64"/>
      <c r="D498" s="64"/>
      <c r="E498" s="65"/>
      <c r="F498" s="64"/>
      <c r="G498" s="64"/>
      <c r="H498" s="64" t="str">
        <f t="shared" si="14"/>
        <v/>
      </c>
      <c r="I498" s="65" t="str">
        <f t="shared" si="15"/>
        <v/>
      </c>
      <c r="J498" s="64"/>
    </row>
    <row r="499" spans="1:10">
      <c r="A499" s="63"/>
      <c r="B499" s="64"/>
      <c r="C499" s="64"/>
      <c r="D499" s="64"/>
      <c r="E499" s="65"/>
      <c r="F499" s="64"/>
      <c r="G499" s="64"/>
      <c r="H499" s="64" t="str">
        <f t="shared" si="14"/>
        <v/>
      </c>
      <c r="I499" s="65" t="str">
        <f t="shared" si="15"/>
        <v/>
      </c>
      <c r="J499" s="64"/>
    </row>
    <row r="500" spans="1:10">
      <c r="A500" s="63"/>
      <c r="B500" s="64"/>
      <c r="C500" s="64"/>
      <c r="D500" s="64"/>
      <c r="E500" s="65"/>
      <c r="F500" s="64"/>
      <c r="G500" s="64"/>
      <c r="H500" s="64" t="str">
        <f t="shared" si="14"/>
        <v/>
      </c>
      <c r="I500" s="65" t="str">
        <f t="shared" si="15"/>
        <v/>
      </c>
      <c r="J500" s="64"/>
    </row>
    <row r="501" spans="1:10">
      <c r="A501" s="63"/>
      <c r="B501" s="64"/>
      <c r="C501" s="64"/>
      <c r="D501" s="64"/>
      <c r="E501" s="65"/>
      <c r="F501" s="64"/>
      <c r="G501" s="64"/>
      <c r="H501" s="64" t="str">
        <f t="shared" si="14"/>
        <v/>
      </c>
      <c r="I501" s="65" t="str">
        <f t="shared" si="15"/>
        <v/>
      </c>
      <c r="J501" s="64"/>
    </row>
    <row r="502" spans="1:10">
      <c r="A502" s="63"/>
      <c r="B502" s="64"/>
      <c r="C502" s="64"/>
      <c r="D502" s="64"/>
      <c r="E502" s="65"/>
      <c r="F502" s="64"/>
      <c r="G502" s="64"/>
      <c r="H502" s="64" t="str">
        <f t="shared" si="14"/>
        <v/>
      </c>
      <c r="I502" s="65" t="str">
        <f t="shared" si="15"/>
        <v/>
      </c>
      <c r="J502" s="64"/>
    </row>
    <row r="503" spans="1:10">
      <c r="A503" s="63"/>
      <c r="B503" s="64"/>
      <c r="C503" s="64"/>
      <c r="D503" s="64"/>
      <c r="E503" s="65"/>
      <c r="F503" s="64"/>
      <c r="G503" s="64"/>
      <c r="H503" s="64" t="str">
        <f t="shared" si="14"/>
        <v/>
      </c>
      <c r="I503" s="65" t="str">
        <f t="shared" si="15"/>
        <v/>
      </c>
      <c r="J503" s="64"/>
    </row>
    <row r="504" spans="1:10">
      <c r="A504" s="63"/>
      <c r="B504" s="64"/>
      <c r="C504" s="64"/>
      <c r="D504" s="64"/>
      <c r="E504" s="65"/>
      <c r="F504" s="64"/>
      <c r="G504" s="64"/>
      <c r="H504" s="64" t="str">
        <f t="shared" si="14"/>
        <v/>
      </c>
      <c r="I504" s="65" t="str">
        <f t="shared" si="15"/>
        <v/>
      </c>
      <c r="J504" s="64"/>
    </row>
    <row r="505" spans="1:10">
      <c r="A505" s="63"/>
      <c r="B505" s="64"/>
      <c r="C505" s="64"/>
      <c r="D505" s="64"/>
      <c r="E505" s="65"/>
      <c r="F505" s="64"/>
      <c r="G505" s="64"/>
      <c r="H505" s="64" t="str">
        <f t="shared" si="14"/>
        <v/>
      </c>
      <c r="I505" s="65" t="str">
        <f t="shared" si="15"/>
        <v/>
      </c>
      <c r="J505" s="64"/>
    </row>
    <row r="506" spans="1:10">
      <c r="A506" s="63"/>
      <c r="B506" s="64"/>
      <c r="C506" s="64"/>
      <c r="D506" s="64"/>
      <c r="E506" s="65"/>
      <c r="F506" s="64"/>
      <c r="G506" s="64"/>
      <c r="H506" s="64" t="str">
        <f t="shared" si="14"/>
        <v/>
      </c>
      <c r="I506" s="65" t="str">
        <f t="shared" si="15"/>
        <v/>
      </c>
      <c r="J506" s="64"/>
    </row>
    <row r="507" spans="1:10">
      <c r="A507" s="63"/>
      <c r="B507" s="64"/>
      <c r="C507" s="64"/>
      <c r="D507" s="64"/>
      <c r="E507" s="65"/>
      <c r="F507" s="64"/>
      <c r="G507" s="64"/>
      <c r="H507" s="64" t="str">
        <f t="shared" si="14"/>
        <v/>
      </c>
      <c r="I507" s="65" t="str">
        <f t="shared" si="15"/>
        <v/>
      </c>
      <c r="J507" s="64"/>
    </row>
    <row r="508" spans="1:10">
      <c r="A508" s="63"/>
      <c r="B508" s="64"/>
      <c r="C508" s="64"/>
      <c r="D508" s="64"/>
      <c r="E508" s="65"/>
      <c r="F508" s="64"/>
      <c r="G508" s="64"/>
      <c r="H508" s="64" t="str">
        <f t="shared" si="14"/>
        <v/>
      </c>
      <c r="I508" s="65" t="str">
        <f t="shared" si="15"/>
        <v/>
      </c>
      <c r="J508" s="64"/>
    </row>
    <row r="509" spans="1:10">
      <c r="A509" s="63"/>
      <c r="B509" s="64"/>
      <c r="C509" s="64"/>
      <c r="D509" s="64"/>
      <c r="E509" s="65"/>
      <c r="F509" s="64"/>
      <c r="G509" s="64"/>
      <c r="H509" s="64" t="str">
        <f t="shared" si="14"/>
        <v/>
      </c>
      <c r="I509" s="65" t="str">
        <f t="shared" si="15"/>
        <v/>
      </c>
      <c r="J509" s="64"/>
    </row>
    <row r="510" spans="1:10">
      <c r="A510" s="63"/>
      <c r="B510" s="64"/>
      <c r="C510" s="64"/>
      <c r="D510" s="64"/>
      <c r="E510" s="65"/>
      <c r="F510" s="64"/>
      <c r="G510" s="64"/>
      <c r="H510" s="64" t="str">
        <f t="shared" si="14"/>
        <v/>
      </c>
      <c r="I510" s="65" t="str">
        <f t="shared" si="15"/>
        <v/>
      </c>
      <c r="J510" s="64"/>
    </row>
  </sheetData>
  <mergeCells count="2">
    <mergeCell ref="A2:J2"/>
    <mergeCell ref="A3:J3"/>
  </mergeCells>
  <conditionalFormatting sqref="B11:B510">
    <cfRule type="expression" dxfId="3" priority="1">
      <formula>B11="Ingreso"</formula>
    </cfRule>
    <cfRule type="expression" dxfId="2" priority="2">
      <formula>B11="Gasto"</formula>
    </cfRule>
  </conditionalFormatting>
  <conditionalFormatting sqref="I11:I510">
    <cfRule type="expression" dxfId="1" priority="3">
      <formula>I11&lt;0</formula>
    </cfRule>
    <cfRule type="expression" dxfId="0" priority="4">
      <formula>I11&gt;0</formula>
    </cfRule>
  </conditionalFormatting>
  <dataValidations count="3">
    <dataValidation type="list" sqref="B11:B510" xr:uid="{00000000-0002-0000-0400-000000000000}">
      <formula1>"Ingreso,Gasto"</formula1>
    </dataValidation>
    <dataValidation type="list" sqref="C11:C510" xr:uid="{00000000-0002-0000-0400-000001000000}">
      <formula1>"Venta producto,Servicio página web,Google Maps / posicionamiento,Compra de mercadería,Empaque,Delivery,Movilidad,Publicidad,Dominio / sistema,Comisión de cobro,Otros"</formula1>
    </dataValidation>
    <dataValidation type="list" sqref="F11:F510" xr:uid="{00000000-0002-0000-0400-000002000000}">
      <formula1>"Yape,Plin,Efectivo,Transferencia,Tarjeta,Otro"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Costos y metas</vt:lpstr>
      <vt:lpstr>Plan 30 dias</vt:lpstr>
      <vt:lpstr>Seguimiento ventas</vt:lpstr>
      <vt:lpstr>Ingresos y 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Romero</cp:lastModifiedBy>
  <cp:revision/>
  <dcterms:created xsi:type="dcterms:W3CDTF">2026-09-21T20:38:18Z</dcterms:created>
  <dcterms:modified xsi:type="dcterms:W3CDTF">2026-09-22T17:46:01Z</dcterms:modified>
  <cp:category/>
  <cp:contentStatus/>
</cp:coreProperties>
</file>